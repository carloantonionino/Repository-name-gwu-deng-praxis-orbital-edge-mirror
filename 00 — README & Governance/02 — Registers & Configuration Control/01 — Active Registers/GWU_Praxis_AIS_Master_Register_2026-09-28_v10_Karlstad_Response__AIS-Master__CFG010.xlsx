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800205ab1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Library" sheetId="1" r:id="R49cfb410f6b24226"/>
    <x:sheet xmlns:r="http://schemas.openxmlformats.org/officeDocument/2006/relationships" name="AIS Companies" sheetId="2" r:id="Re10b9800cfdd4096"/>
    <x:sheet xmlns:r="http://schemas.openxmlformats.org/officeDocument/2006/relationships" name="Scoring Guide" sheetId="3" r:id="Rdf331e71ddca4c59"/>
    <x:sheet xmlns:r="http://schemas.openxmlformats.org/officeDocument/2006/relationships" name="Hybrid Crosswalk" sheetId="4" r:id="Re2e5b527b8924142"/>
    <x:sheet xmlns:r="http://schemas.openxmlformats.org/officeDocument/2006/relationships" name="Hybrid Matrix" sheetId="5" r:id="R8e51bd7a3eda4600"/>
    <x:sheet xmlns:r="http://schemas.openxmlformats.org/officeDocument/2006/relationships" name="Intl Data Requests" sheetId="6" r:id="R18e0c2ae6e714ed9"/>
    <x:sheet xmlns:r="http://schemas.openxmlformats.org/officeDocument/2006/relationships" name="Data Families" sheetId="7" r:id="Rb8165884ba5a4168"/>
    <x:sheet xmlns:r="http://schemas.openxmlformats.org/officeDocument/2006/relationships" name="Intl Bucket Matrix" sheetId="8" r:id="R36e43a0ef8f94020"/>
    <x:sheet xmlns:r="http://schemas.openxmlformats.org/officeDocument/2006/relationships" name="Screenshot References" sheetId="9" r:id="Re39797da20dc48bb"/>
    <x:sheet xmlns:r="http://schemas.openxmlformats.org/officeDocument/2006/relationships" name="Research Artifacts" sheetId="10" r:id="R73d9ddf70eef40e8"/>
    <x:sheet xmlns:r="http://schemas.openxmlformats.org/officeDocument/2006/relationships" name="Reference Guide" sheetId="11" r:id="R83f1230bc3814229"/>
    <x:sheet xmlns:r="http://schemas.openxmlformats.org/officeDocument/2006/relationships" name="Update Log 15 Sep" sheetId="12" r:id="Rc3d8b3017d2f4cd2"/>
    <x:sheet xmlns:r="http://schemas.openxmlformats.org/officeDocument/2006/relationships" name="Verified Additions" sheetId="13" r:id="R86e973004c354fdb"/>
    <x:sheet xmlns:r="http://schemas.openxmlformats.org/officeDocument/2006/relationships" name="URL Audit" sheetId="14" r:id="R1ed20a92ae3841cd"/>
    <x:sheet xmlns:r="http://schemas.openxmlformats.org/officeDocument/2006/relationships" name="Verification Guide" sheetId="15" r:id="R09fe386eb18f4720"/>
    <x:sheet xmlns:r="http://schemas.openxmlformats.org/officeDocument/2006/relationships" name="ACCC Update 23 Sep" sheetId="16" r:id="Rcc77c9c37cb84435"/>
    <x:sheet xmlns:r="http://schemas.openxmlformats.org/officeDocument/2006/relationships" name="Finland Update 23 Sep" sheetId="17" r:id="Rb88527f3471b4207"/>
    <x:sheet xmlns:r="http://schemas.openxmlformats.org/officeDocument/2006/relationships" name="Karlstad Update 28 Sep" sheetId="18" r:id="R4815a1aaffa74351"/>
  </x:sheets>
</x:workbook>
</file>

<file path=xl/sharedStrings.xml><?xml version="1.0" encoding="utf-8"?>
<x:sst xmlns:x="http://schemas.openxmlformats.org/spreadsheetml/2006/main">
  <x:si>
    <x:t xml:space="preserve">GWU Praxis &amp; Computational Modeling — Master Research Register</x:t>
  </x:si>
  <x:si>
    <x:t xml:space="preserve">HOT</x:t>
  </x:si>
  <x:si>
    <x:t xml:space="preserve">WARM</x:t>
  </x:si>
  <x:si>
    <x:t xml:space="preserve">COLD</x:t>
  </x:si>
  <x:si>
    <x:t xml:space="preserve">DISTINCT SOURCES</x:t>
  </x:si>
  <x:si>
    <x:t xml:space="preserve">Reading ID</x:t>
  </x:si>
  <x:si>
    <x:t xml:space="preserve">Date Added</x:t>
  </x:si>
  <x:si>
    <x:t xml:space="preserve">Author</x:t>
  </x:si>
  <x:si>
    <x:t xml:space="preserve">Year</x:t>
  </x:si>
  <x:si>
    <x:t xml:space="preserve">Title</x:t>
  </x:si>
  <x:si>
    <x:t xml:space="preserve">Document Type</x:t>
  </x:si>
  <x:si>
    <x:t xml:space="preserve">Institution</x:t>
  </x:si>
  <x:si>
    <x:t xml:space="preserve">Method / Model</x:t>
  </x:si>
  <x:si>
    <x:t xml:space="preserve">Primary Outputs / Metrics</x:t>
  </x:si>
  <x:si>
    <x:t xml:space="preserve">AIS Layer / Tier Alignment</x:t>
  </x:si>
  <x:si>
    <x:t xml:space="preserve">Method Fit (0-25)</x:t>
  </x:si>
  <x:si>
    <x:t xml:space="preserve">Metric Fit (0-20)</x:t>
  </x:si>
  <x:si>
    <x:t xml:space="preserve">Tool/Data/V&amp;V Fit (0-15)</x:t>
  </x:si>
  <x:si>
    <x:t xml:space="preserve">Domain Fit (0-20)</x:t>
  </x:si>
  <x:si>
    <x:t xml:space="preserve">Layer Fit (0-10)</x:t>
  </x:si>
  <x:si>
    <x:t xml:space="preserve">Praxis Transfer (0-10)</x:t>
  </x:si>
  <x:si>
    <x:t xml:space="preserve">Overall Score</x:t>
  </x:si>
  <x:si>
    <x:t xml:space="preserve">Heat</x:t>
  </x:si>
  <x:si>
    <x:t xml:space="preserve">Why Collected</x:t>
  </x:si>
  <x:si>
    <x:t xml:space="preserve">Best Use in Praxis</x:t>
  </x:si>
  <x:si>
    <x:t xml:space="preserve">Document URL</x:t>
  </x:si>
  <x:si>
    <x:t xml:space="preserve">TEST</x:t>
  </x:si>
  <x:si>
    <x:t xml:space="preserve">John M. Bauer</x:t>
  </x:si>
  <x:si>
    <x:t xml:space="preserve">Application of Monte Carlo Simulation for the Probabilistic Assessment of Hydropower Generator Capacity Loss Due to Forced Outages</x:t>
  </x:si>
  <x:si>
    <x:t xml:space="preserve">GWU D.Eng. Praxis</x:t>
  </x:si>
  <x:si>
    <x:t xml:space="preserve">George Washington University</x:t>
  </x:si>
  <x:si>
    <x:t xml:space="preserve">Monte Carlo simulation; probabilistic availability modeling</x:t>
  </x:si>
  <x:si>
    <x:t xml:space="preserve">Capacity loss; forced outages; availability; probabilistic risk</x:t>
  </x:si>
  <x:si>
    <x:t xml:space="preserve">Cross-layer analogue; strongest for Layers 3–4 availability/resilience</x:t>
  </x:si>
  <x:si>
    <x:t xml:space="preserve">Replaces deterministic averages with stochastic outage behavior; useful degraded-availability analogue.</x:t>
  </x:si>
  <x:si>
    <x:t xml:space="preserve">Method precedent for probabilistic degraded-state modeling and validation against later observations.</x:t>
  </x:si>
  <x:si>
    <x:t xml:space="preserve">https://scholarspace.library.gwu.edu/concern/gw_etds/tt44pn765</x:t>
  </x:si>
  <x:si>
    <x:t xml:space="preserve">001</x:t>
  </x:si>
  <x:si>
    <x:t xml:space="preserve">John R. Mueller</x:t>
  </x:si>
  <x:si>
    <x:t xml:space="preserve">Comparison of Machine Learning Methods for Mission Generated Orbital Debris Estimation in Space Operations Planning</x:t>
  </x:si>
  <x:si>
    <x:t xml:space="preserve">Machine-learning model comparison; multiple linear regression baseline</x:t>
  </x:si>
  <x:si>
    <x:t xml:space="preserve">Prediction error; model comparison; orbital-debris estimation</x:t>
  </x:si>
  <x:si>
    <x:t xml:space="preserve">Layer 5 primary; Layer 2 data relevance</x:t>
  </x:si>
  <x:si>
    <x:t xml:space="preserve">Direct space-operations example using public datasets, baseline modeling, and comparative computational analysis.</x:t>
  </x:si>
  <x:si>
    <x:t xml:space="preserve">Precedent for public-data pedigree, baseline comparison, and defensible AI/ML model selection.</x:t>
  </x:si>
  <x:si>
    <x:t xml:space="preserve">https://scholarspace.library.gwu.edu/downloads/cv43nx61h?disposition=attachment&amp;locale=en</x:t>
  </x:si>
  <x:si>
    <x:t xml:space="preserve">002</x:t>
  </x:si>
  <x:si>
    <x:t xml:space="preserve">Nesrine Nagui Taha</x:t>
  </x:si>
  <x:si>
    <x:t xml:space="preserve">Engineering Management Methodology for Assessing and Improving the Cyber Resilience of Critical Infrastructures</x:t>
  </x:si>
  <x:si>
    <x:t xml:space="preserve">Python simulation; architecture-resilience modeling</x:t>
  </x:si>
  <x:si>
    <x:t xml:space="preserve">Successful attacks; affected components; Mean Time to Breach</x:t>
  </x:si>
  <x:si>
    <x:t xml:space="preserve">Layers 4–5 analogue; cross-layer architecture resilience</x:t>
  </x:si>
  <x:si>
    <x:t xml:space="preserve">Bounded architecture under disruption; strong resilience and time-to-response analogue.</x:t>
  </x:si>
  <x:si>
    <x:t xml:space="preserve">Useful for defining degraded-state architecture behavior and operator-action time as a decision metric.</x:t>
  </x:si>
  <x:si>
    <x:t xml:space="preserve">https://scholarspace.library.gwu.edu/etd/gb19f652r</x:t>
  </x:si>
  <x:si>
    <x:t xml:space="preserve">003</x:t>
  </x:si>
  <x:si>
    <x:t xml:space="preserve">Nila Fridley</x:t>
  </x:si>
  <x:si>
    <x:t xml:space="preserve">A Comparative Simulation of Human and AI Operators: Autonomous ISR Analysis in Orbit</x:t>
  </x:si>
  <x:si>
    <x:t xml:space="preserve">Comparative simulation of human and AI operators</x:t>
  </x:si>
  <x:si>
    <x:t xml:space="preserve">Latency / analysis duration; accuracy; cognitive fatigue</x:t>
  </x:si>
  <x:si>
    <x:t xml:space="preserve">Layers 3–5; strongest Layers 3 &amp; 5, with Layer 4 interface</x:t>
  </x:si>
  <x:si>
    <x:t xml:space="preserve">Near-direct orbital edge-processing precedent comparing onboard AI with human/ground workflows.</x:t>
  </x:si>
  <x:si>
    <x:t xml:space="preserve">High-value analogue for latency, human-machine allocation, ground dependence, and operator workload.</x:t>
  </x:si>
  <x:si>
    <x:t xml:space="preserve">https://scholarspace.library.gwu.edu/concern/gw_etds/qv33rx81r</x:t>
  </x:si>
  <x:si>
    <x:t xml:space="preserve">004</x:t>
  </x:si>
  <x:si>
    <x:t xml:space="preserve">Dylan Browne</x:t>
  </x:si>
  <x:si>
    <x:t xml:space="preserve">Electric Vehicle Charge Station Expansion Analysis for EV Owners in Maryland: Stochastic Model Utilizing Monte Carlo Simulation Methodology to Determine Arrival Rates, Utilization and Wait Times of Electric Vehicles at Charge Station Infrastructure</x:t>
  </x:si>
  <x:si>
    <x:t xml:space="preserve">Discrete-event simulation; Monte Carlo; queueing</x:t>
  </x:si>
  <x:si>
    <x:t xml:space="preserve">Arrival rate; utilization; wait time; congestion</x:t>
  </x:si>
  <x:si>
    <x:t xml:space="preserve">Layers 3–4 analogue: constrained compute/network resources</x:t>
  </x:si>
  <x:si>
    <x:t xml:space="preserve">Excellent quantitative analogue for stochastic demand, queueing, constrained capacity, and latency.</x:t>
  </x:si>
  <x:si>
    <x:t xml:space="preserve">Potential template for MATLAB/DES experiments on processing queues, link bottlenecks, and latency distributions.</x:t>
  </x:si>
  <x:si>
    <x:t xml:space="preserve">https://scholarspace.library.gwu.edu/etd/1v53jx95k</x:t>
  </x:si>
  <x:si>
    <x:t xml:space="preserve">005</x:t>
  </x:si>
  <x:si>
    <x:t xml:space="preserve">Scott Littlefield</x:t>
  </x:si>
  <x:si>
    <x:t xml:space="preserve">Application of Discrete Event Simulation to Modeling Reliability of Highly Parallel Systems with Common Cause Failures</x:t>
  </x:si>
  <x:si>
    <x:t xml:space="preserve">Discrete-event simulation; reliability; sensitivity analysis</x:t>
  </x:si>
  <x:si>
    <x:t xml:space="preserve">Mission reliability; failures; common-cause failure; redundancy</x:t>
  </x:si>
  <x:si>
    <x:t xml:space="preserve">Layers 1, 3 &amp; 4; distributed-system resilience</x:t>
  </x:si>
  <x:si>
    <x:t xml:space="preserve">Distributed-system reliability model with independent and correlated failures; strong constellation analogue.</x:t>
  </x:si>
  <x:si>
    <x:t xml:space="preserve">Use for degraded/disrupted architecture scenarios, common-mode failures, redundancy, and sensitivity analysis.</x:t>
  </x:si>
  <x:si>
    <x:t xml:space="preserve">https://scholarspace.library.gwu.edu/downloads/x059c743t?disposition=inline&amp;locale=en</x:t>
  </x:si>
  <x:si>
    <x:t xml:space="preserve">006</x:t>
  </x:si>
  <x:si>
    <x:t xml:space="preserve">Kenneth Stavish</x:t>
  </x:si>
  <x:si>
    <x:t xml:space="preserve">Resilience Analysis of Inertial Navigation Systems (INS) through an Enhanced INS Tool Kit</x:t>
  </x:si>
  <x:si>
    <x:t xml:space="preserve">Simulation/toolkit; nonparametric statistical comparison</x:t>
  </x:si>
  <x:si>
    <x:t xml:space="preserve">Robustness; recovery; navigation performance under GPS outage</x:t>
  </x:si>
  <x:si>
    <x:t xml:space="preserve">Layers 2–3; controlled disruption / degraded sensing-processing</x:t>
  </x:si>
  <x:si>
    <x:t xml:space="preserve">Quantifies resilience under GPS outage using explicit robustness and recovery measures.</x:t>
  </x:si>
  <x:si>
    <x:t xml:space="preserve">Precedent for imposed degradation, architecture comparison, resilience MOEs, and statistical significance.</x:t>
  </x:si>
  <x:si>
    <x:t xml:space="preserve">https://scholarspace.library.gwu.edu/etd/tt44pn013</x:t>
  </x:si>
  <x:si>
    <x:t xml:space="preserve">007</x:t>
  </x:si>
  <x:si>
    <x:t xml:space="preserve">Jonathan C. Bierce</x:t>
  </x:si>
  <x:si>
    <x:t xml:space="preserve">System Design Under Uncertain Time-Varying Requirements: Nuclear Weapons Case Study</x:t>
  </x:si>
  <x:si>
    <x:t xml:space="preserve">Robust optimization; scenario analysis; Pareto trade space</x:t>
  </x:si>
  <x:si>
    <x:t xml:space="preserve">Robustness across futures; trade-space performance</x:t>
  </x:si>
  <x:si>
    <x:t xml:space="preserve">Cross-layer architecture / decision-analysis precedent</x:t>
  </x:si>
  <x:si>
    <x:t xml:space="preserve">Shows how to design against multiple uncertain futures rather than a single nominal scenario.</x:t>
  </x:si>
  <x:si>
    <x:t xml:space="preserve">Use for architecture trade-space framing and robustness across degraded-communications scenarios.</x:t>
  </x:si>
  <x:si>
    <x:t xml:space="preserve">https://scholarspace.library.gwu.edu/downloads/dv13zt91w?disposition=inline&amp;locale=en</x:t>
  </x:si>
  <x:si>
    <x:t xml:space="preserve">008</x:t>
  </x:si>
  <x:si>
    <x:t xml:space="preserve">Phillip C. Reid</x:t>
  </x:si>
  <x:si>
    <x:t xml:space="preserve">Conceptual Framework for a Rapid Space Launch Capability</x:t>
  </x:si>
  <x:si>
    <x:t xml:space="preserve">Monte Carlo; MATLAB/Simulink timeline model; sensitivity analysis; expert elicitation</x:t>
  </x:si>
  <x:si>
    <x:t xml:space="preserve">Mission timeline; duration distributions; sensitivity; validation</x:t>
  </x:si>
  <x:si>
    <x:t xml:space="preserve">Space-operations cross-layer; strongest Layers 1, 3 &amp; 4</x:t>
  </x:si>
  <x:si>
    <x:t xml:space="preserve">Direct space-domain computational-modeling precedent with MATLAB/Simulink, Monte Carlo, sensitivity, and expert validation.</x:t>
  </x:si>
  <x:si>
    <x:t xml:space="preserve">Strong template for model implementation, uncertainty propagation, sensitivity analysis, and expert-supported V&amp;V.</x:t>
  </x:si>
  <x:si>
    <x:t xml:space="preserve">https://scholarspace.library.gwu.edu/etd/z316q184z</x:t>
  </x:si>
  <x:si>
    <x:t xml:space="preserve">009</x:t>
  </x:si>
  <x:si>
    <x:t xml:space="preserve">Caesar Sanosa Benipayo</x:t>
  </x:si>
  <x:si>
    <x:t xml:space="preserve">Percolation-Based Metrics to Quantify Resilience and Performance of Communication Systems</x:t>
  </x:si>
  <x:si>
    <x:t xml:space="preserve">Percolation / network-resilience modeling; node/link removal</x:t>
  </x:si>
  <x:si>
    <x:t xml:space="preserve">Connectivity; resilience threshold; functional-to-nonfunctional transition</x:t>
  </x:si>
  <x:si>
    <x:t xml:space="preserve">Layer 4 primary; Layers 2–3 supporting distributed-system resilience</x:t>
  </x:si>
  <x:si>
    <x:t xml:space="preserve">Measures how distributed communication networks degrade as nodes/links are progressively lost; strong DDIL analogue.</x:t>
  </x:si>
  <x:si>
    <x:t xml:space="preserve">Candidate quantitative resilience metric for network degradation thresholds and mission-function loss.</x:t>
  </x:si>
  <x:si>
    <x:t xml:space="preserve">https://scholarspace.library.gwu.edu/downloads/k3569472r?disposition=attachment&amp;locale=en</x:t>
  </x:si>
  <x:si>
    <x:t xml:space="preserve">010</x:t>
  </x:si>
  <x:si>
    <x:t xml:space="preserve">James Newsom</x:t>
  </x:si>
  <x:si>
    <x:t xml:space="preserve">Automating Computer System Configurations for Maximum Performance with Minimum Latency Variance</x:t>
  </x:si>
  <x:si>
    <x:t xml:space="preserve">Heuristic optimization; hill-climbing; controlled compute experiments</x:t>
  </x:si>
  <x:si>
    <x:t xml:space="preserve">Throughput; response latency; latency variance; configuration performance</x:t>
  </x:si>
  <x:si>
    <x:t xml:space="preserve">Layer 3 primary; Layer 4 latency interface</x:t>
  </x:si>
  <x:si>
    <x:t xml:space="preserve">Directly studies configuration choices under bounded compute with latency variance as an engineering outcome.</x:t>
  </x:si>
  <x:si>
    <x:t xml:space="preserve">Useful for parameter-sweep/optimization experiments that trade compute configuration against latency and throughput.</x:t>
  </x:si>
  <x:si>
    <x:t xml:space="preserve">https://scholarspace.library.gwu.edu/concern/gw_etds/r207tq15z</x:t>
  </x:si>
  <x:si>
    <x:t xml:space="preserve">011</x:t>
  </x:si>
  <x:si>
    <x:t xml:space="preserve">Douglas McGowan</x:t>
  </x:si>
  <x:si>
    <x:t xml:space="preserve">AI and Complex Adaptive Systems: A Lifecycle Methodology for Verification and Monitoring</x:t>
  </x:si>
  <x:si>
    <x:t xml:space="preserve">AI/CAS lifecycle assurance methodology; continuous monitoring and revalidation</x:t>
  </x:si>
  <x:si>
    <x:t xml:space="preserve">Model credibility; verification status; adaptive-system behavior; monitoring triggers</x:t>
  </x:si>
  <x:si>
    <x:t xml:space="preserve">Layer 5 primary; cross-layer assurance</x:t>
  </x:si>
  <x:si>
    <x:t xml:space="preserve">Makes V&amp;V itself the research problem for adaptive AI rather than treating validation as a one-time gate.</x:t>
  </x:si>
  <x:si>
    <x:t xml:space="preserve">Strong assurance framework for defining when an AI-enabled edge system must be revalidated under changing conditions.</x:t>
  </x:si>
  <x:si>
    <x:t xml:space="preserve">https://scholarspace.library.gwu.edu/concern/gw_etds/5712m7598</x:t>
  </x:si>
  <x:si>
    <x:t xml:space="preserve">012</x:t>
  </x:si>
  <x:si>
    <x:t xml:space="preserve">Ravi M. Shanbhag</x:t>
  </x:si>
  <x:si>
    <x:t xml:space="preserve">Implications of Overcommitment on Cloud Computing Workloads</x:t>
  </x:si>
  <x:si>
    <x:t xml:space="preserve">Generative discrete-event simulation; cloud-resource overcommitment</x:t>
  </x:si>
  <x:si>
    <x:t xml:space="preserve">Utilization; task eviction/failure; resource demand; degraded performance</x:t>
  </x:si>
  <x:si>
    <x:t xml:space="preserve">Layer 3 primary; Layer 4 resource-sharing analogue</x:t>
  </x:si>
  <x:si>
    <x:t xml:space="preserve">Excellent bounded-resource analogue: competing workloads consume finite compute capacity and create failure risk.</x:t>
  </x:si>
  <x:si>
    <x:t xml:space="preserve">High-value DES precedent for onboard compute queues, utilization limits, congestion, and overload thresholds.</x:t>
  </x:si>
  <x:si>
    <x:t xml:space="preserve">https://scholarspace.library.gwu.edu/concern/gw_etds/bk128b72k</x:t>
  </x:si>
  <x:si>
    <x:t xml:space="preserve">013</x:t>
  </x:si>
  <x:si>
    <x:t xml:space="preserve">Sean Brendan Smith</x:t>
  </x:si>
  <x:si>
    <x:t xml:space="preserve">Detecting Adversary Military Assets on Autonomous Edge Devices using Deep Learning</x:t>
  </x:si>
  <x:si>
    <x:t xml:space="preserve">Edge-AI experiment; deep learning / YOLOv8 on constrained hardware</x:t>
  </x:si>
  <x:si>
    <x:t xml:space="preserve">Inference latency; throughput; precision; recall; mAP</x:t>
  </x:si>
  <x:si>
    <x:t xml:space="preserve">Layers 2–3–5; strongest at Layer 3 bounded compute</x:t>
  </x:si>
  <x:si>
    <x:t xml:space="preserve">Near-direct bounded edge-compute experiment using autonomous hardware and explicit latency/throughput tradeoffs.</x:t>
  </x:si>
  <x:si>
    <x:t xml:space="preserve">Strong implementation precedent for measuring compute cost against analytic performance on constrained edge devices.</x:t>
  </x:si>
  <x:si>
    <x:t xml:space="preserve">https://scholarspace.library.gwu.edu/concern/gw_etds/st74cr52x</x:t>
  </x:si>
  <x:si>
    <x:t xml:space="preserve">014</x:t>
  </x:si>
  <x:si>
    <x:t xml:space="preserve">Said M. Rachidi</x:t>
  </x:si>
  <x:si>
    <x:t xml:space="preserve">Real-time Lightweight Intrusion Detection System for In-Vehicle Network</x:t>
  </x:si>
  <x:si>
    <x:t xml:space="preserve">ML-model comparison for lightweight real-time detection</x:t>
  </x:si>
  <x:si>
    <x:t xml:space="preserve">Detection latency; accuracy; false alarms; computational burden</x:t>
  </x:si>
  <x:si>
    <x:t xml:space="preserve">Layers 3–5; real-time communications / edge compute</x:t>
  </x:si>
  <x:si>
    <x:t xml:space="preserve">Represents a bounded real-time communications problem where the most accurate model may still be operationally wrong.</x:t>
  </x:si>
  <x:si>
    <x:t xml:space="preserve">Useful for multi-objective selection among AI models using latency, false alarms, and compute burden.</x:t>
  </x:si>
  <x:si>
    <x:t xml:space="preserve">https://scholarspace.library.gwu.edu/concern/gw_etds/1544bq08m</x:t>
  </x:si>
  <x:si>
    <x:t xml:space="preserve">015</x:t>
  </x:si>
  <x:si>
    <x:t xml:space="preserve">Carl E. Busart III</x:t>
  </x:si>
  <x:si>
    <x:t xml:space="preserve">Federated Learning Architecture to Enable Continuous Learning at the Tactical Edge for Situational Awareness</x:t>
  </x:si>
  <x:si>
    <x:t xml:space="preserve">Federated learning; distributed edge architecture</x:t>
  </x:si>
  <x:si>
    <x:t xml:space="preserve">Bandwidth burden; distributed learning performance; local/central processing trade</x:t>
  </x:si>
  <x:si>
    <x:t xml:space="preserve">Layers 4–5 primary; Layer 3 supporting edge compute</x:t>
  </x:si>
  <x:si>
    <x:t xml:space="preserve">Exceptionally close structural match to distributed learning over bandwidth-limited edge nodes.</x:t>
  </x:si>
  <x:si>
    <x:t xml:space="preserve">Architecture precedent for deciding what data/model updates remain local versus traverse constrained links.</x:t>
  </x:si>
  <x:si>
    <x:t xml:space="preserve">https://scholarspace.library.gwu.edu/concern/gw_etds/br86b420j</x:t>
  </x:si>
  <x:si>
    <x:t xml:space="preserve">016</x:t>
  </x:si>
  <x:si>
    <x:t xml:space="preserve">George Grama</x:t>
  </x:si>
  <x:si>
    <x:t xml:space="preserve">System Dynamics Based Analysis of Global Semiconductor Supply Chain Disruptions</x:t>
  </x:si>
  <x:si>
    <x:t xml:space="preserve">System Dynamics; Monte Carlo; sensitivity analysis</x:t>
  </x:si>
  <x:si>
    <x:t xml:space="preserve">Disruption delay; propagation; recovery; resilience; system behavior over time</x:t>
  </x:si>
  <x:si>
    <x:t xml:space="preserve">Cross-layer analogue; strongest for Layer 4 propagation/recovery behavior</x:t>
  </x:si>
  <x:si>
    <x:t xml:space="preserve">Provides the principal System Dynamics counterpoint to DES: feedback, delays, accumulation, and disruption propagation.</x:t>
  </x:si>
  <x:si>
    <x:t xml:space="preserve">Use to decide when cascading degradation/recovery requires stocks-flows and feedback rather than event queues.</x:t>
  </x:si>
  <x:si>
    <x:t xml:space="preserve">https://scholarspace.library.gwu.edu/concern/gw_etds/mg74qn00d</x:t>
  </x:si>
  <x:si>
    <x:t xml:space="preserve">017</x:t>
  </x:si>
  <x:si>
    <x:t xml:space="preserve">Laura B. Hugill</x:t>
  </x:si>
  <x:si>
    <x:t xml:space="preserve">A Requirement-Driven Digital Twin Data Fusion Framework</x:t>
  </x:si>
  <x:si>
    <x:t xml:space="preserve">Requirements-driven digital-twin / data-fusion framework</x:t>
  </x:si>
  <x:si>
    <x:t xml:space="preserve">Interoperability; scalability; adaptability; data-fusion latency</x:t>
  </x:si>
  <x:si>
    <x:t xml:space="preserve">Layers 2–5; strongest at sensing/data-fusion interfaces</x:t>
  </x:si>
  <x:si>
    <x:t xml:space="preserve">Connects requirements, data fusion, architecture, and edge/cloud placement decisions.</x:t>
  </x:si>
  <x:si>
    <x:t xml:space="preserve">Useful for bounding what data must be fused, retained, processed, or transmitted before selecting the simulation tool.</x:t>
  </x:si>
  <x:si>
    <x:t xml:space="preserve">https://search.proquest.com/openview/333ba46b81388bcc3888a092c0bf6879/1.pdf?pq-origsite=gscholar&amp;cbl=18750&amp;diss=y</x:t>
  </x:si>
  <x:si>
    <x:t xml:space="preserve">018</x:t>
  </x:si>
  <x:si>
    <x:t xml:space="preserve">Shane Robinson</x:t>
  </x:si>
  <x:si>
    <x:t xml:space="preserve">Super-Resolution Enhanced Real-Time Detector for Small Objects in Aerial Imagery</x:t>
  </x:si>
  <x:si>
    <x:t xml:space="preserve">Real-time edge-AI experiment; super-resolution + object detection</x:t>
  </x:si>
  <x:si>
    <x:t xml:space="preserve">Inference latency; detection accuracy; compute penalty; small-object performance</x:t>
  </x:si>
  <x:si>
    <x:t xml:space="preserve">Layers 2–3–5; perception-to-edge-compute trade</x:t>
  </x:si>
  <x:si>
    <x:t xml:space="preserve">Clean accuracy-versus-processing-cost experiment with real-time latency as a hard engineering constraint.</x:t>
  </x:si>
  <x:si>
    <x:t xml:space="preserve">Strong analogue for deciding whether added onboard processing yields enough information gain to justify compute/latency cost.</x:t>
  </x:si>
  <x:si>
    <x:t xml:space="preserve">https://scholarspace.library.gwu.edu/concern/gw_etds/k0698875j</x:t>
  </x:si>
  <x:si>
    <x:t xml:space="preserve">019</x:t>
  </x:si>
  <x:si>
    <x:t xml:space="preserve">Tony Donell Barber</x:t>
  </x:si>
  <x:si>
    <x:t xml:space="preserve">Reduction of Railway System Failures through Technical Uncertainty Analysis</x:t>
  </x:si>
  <x:si>
    <x:t xml:space="preserve">Technical uncertainty analysis; regression; empirical failure-data analysis</x:t>
  </x:si>
  <x:si>
    <x:t xml:space="preserve">Failure rate; disruption frequency; epistemic uncertainty; natural variability</x:t>
  </x:si>
  <x:si>
    <x:t xml:space="preserve">Cross-layer reliability analogue</x:t>
  </x:si>
  <x:si>
    <x:t xml:space="preserve">Separates reducible knowledge uncertainty from natural variability using four years of real operational disruption data.</x:t>
  </x:si>
  <x:si>
    <x:t xml:space="preserve">Useful for distinguishing uncertain model knowledge from irreducible link/processing variability in sensitivity analysis.</x:t>
  </x:si>
  <x:si>
    <x:t xml:space="preserve">https://doi.org/10.13140/RG.2.2.16882.16329</x:t>
  </x:si>
  <x:si>
    <x:t xml:space="preserve">020</x:t>
  </x:si>
  <x:si>
    <x:t xml:space="preserve">Santiago Lattanzio</x:t>
  </x:si>
  <x:si>
    <x:t xml:space="preserve">Holistic Planning Tool to Reduce Commercial Aircraft Fuel Consumption during Ground and Flight Operations</x:t>
  </x:si>
  <x:si>
    <x:t xml:space="preserve">System-level modeling; optimization; calibration; statistical testing</x:t>
  </x:si>
  <x:si>
    <x:t xml:space="preserve">Stage-level performance; optimized system performance; model error / validation</x:t>
  </x:si>
  <x:si>
    <x:t xml:space="preserve">Cross-layer operational-process analogue</x:t>
  </x:si>
  <x:si>
    <x:t xml:space="preserve">Complete end-to-end modeling example using real operational data, cleaning, optimization, calibration, and explicit V&amp;V.</x:t>
  </x:si>
  <x:si>
    <x:t xml:space="preserve">Strong template for decomposing end-to-end latency into stages, validating each stage, then recombining system behavior.</x:t>
  </x:si>
  <x:si>
    <x:t xml:space="preserve">https://doi.org/10.13140/RG.2.2.11408.48640</x:t>
  </x:si>
  <x:si>
    <x:t xml:space="preserve">021</x:t>
  </x:si>
  <x:si>
    <x:t xml:space="preserve">Chibuike S. Abana</x:t>
  </x:si>
  <x:si>
    <x:t xml:space="preserve">Leveraging AutoML for Advanced Network Traffic Analysis and Intrusion Detection by Enhancing Security with a Multi-Feature IDS Dataset</x:t>
  </x:si>
  <x:si>
    <x:t xml:space="preserve">AutoML comparison; data preprocessing; statistical hypothesis validation</x:t>
  </x:si>
  <x:si>
    <x:t xml:space="preserve">Accuracy; balanced accuracy; F1; false-positive rate; model-development time</x:t>
  </x:si>
  <x:si>
    <x:t xml:space="preserve">Layers 4–5; network analytics / AI decision support</x:t>
  </x:si>
  <x:si>
    <x:t xml:space="preserve">Strong public-dataset and comparative-model pipeline with explicit preprocessing, class imbalance, and statistical validation.</x:t>
  </x:si>
  <x:si>
    <x:t xml:space="preserve">Useful for dataset conditioning, reproducibility, candidate-model comparison, and false-alarm/operator-burden analysis.</x:t>
  </x:si>
  <x:si>
    <x:t xml:space="preserve">https://doi.org/10.13140/RG.2.2.12374.10567</x:t>
  </x:si>
  <x:si>
    <x:t xml:space="preserve">022</x:t>
  </x:si>
  <x:si>
    <x:t xml:space="preserve">Samuel Dean Connor</x:t>
  </x:si>
  <x:si>
    <x:t xml:space="preserve">A Decision Support Tool Utilizing Discrete Event Simulation to Select Advanced Manufacturing Technologies</x:t>
  </x:si>
  <x:si>
    <x:t xml:space="preserve">Discrete-event simulation; technology-selection decision support</x:t>
  </x:si>
  <x:si>
    <x:t xml:space="preserve">Utilization; throughput; queue / process performance; alternative ranking</x:t>
  </x:si>
  <x:si>
    <x:t xml:space="preserve">Layers 3–5 analogue; architecture/technology selection</x:t>
  </x:si>
  <x:si>
    <x:t xml:space="preserve">Direct precedent for using DES to compare alternative technologies against common operational metrics.</x:t>
  </x:si>
  <x:si>
    <x:t xml:space="preserve">Candidate template for comparing orbital-edge configurations before committing to a preferred architecture.</x:t>
  </x:si>
  <x:si>
    <x:t xml:space="preserve">https://scholarspace.library.gwu.edu/concern/gw_etds/2v23vv18b</x:t>
  </x:si>
  <x:si>
    <x:t xml:space="preserve">023</x:t>
  </x:si>
  <x:si>
    <x:t xml:space="preserve">Noran Abraham</x:t>
  </x:si>
  <x:si>
    <x:t xml:space="preserve">Hazard Classification of Federal Aviation Administration (FAA) Unmanned Aircraft Systems (UAS) Sightings Reports using Machine Learning</x:t>
  </x:si>
  <x:si>
    <x:t xml:space="preserve">Machine learning / NLP classification of operational reports</x:t>
  </x:si>
  <x:si>
    <x:t xml:space="preserve">Hazard classification; analyst triage; classification performance</x:t>
  </x:si>
  <x:si>
    <x:t xml:space="preserve">Layers 2 &amp; 5; sensing/reporting to decision-support analogue</x:t>
  </x:si>
  <x:si>
    <x:t xml:space="preserve">Converts public operational narratives into machine-assisted prioritization and analyst workload reduction.</x:t>
  </x:si>
  <x:si>
    <x:t xml:space="preserve">Useful for public-data labeling, classification, human judgment, and machine-assisted triage design.</x:t>
  </x:si>
  <x:si>
    <x:t xml:space="preserve">https://scholarspace.library.gwu.edu/concern/gw_etds/js956g65h</x:t>
  </x:si>
  <x:si>
    <x:t xml:space="preserve">024</x:t>
  </x:si>
  <x:si>
    <x:t xml:space="preserve">David Matthew Mahalak</x:t>
  </x:si>
  <x:si>
    <x:t xml:space="preserve">Using Multi Criteria Decision Analysis Decision Support Systems to Conduct Analysis of Alternatives for Department of Defense Acquisition Programs</x:t>
  </x:si>
  <x:si>
    <x:t xml:space="preserve">Deterministic/probabilistic MCDA; Monte Carlo; sensitivity/uncertainty analysis</x:t>
  </x:si>
  <x:si>
    <x:t xml:space="preserve">Alternative ranking; sensitivity; uncertainty; acceptability / trade-space stability</x:t>
  </x:si>
  <x:si>
    <x:t xml:space="preserve">Cross-layer architecture decision analysis</x:t>
  </x:si>
  <x:si>
    <x:t xml:space="preserve">Transforms multiple uncertain technical criteria into a defensible Analysis of Alternatives rather than single-metric optimization.</x:t>
  </x:si>
  <x:si>
    <x:t xml:space="preserve">Strong downstream framework for converting simulation outputs into architecture decisions under uncertainty.</x:t>
  </x:si>
  <x:si>
    <x:t xml:space="preserve">https://scholarspace.library.gwu.edu/concern/gw_etds/pn89d662c</x:t>
  </x:si>
  <x:si>
    <x:t xml:space="preserve">026</x:t>
  </x:si>
  <x:si>
    <x:t xml:space="preserve">Momodou M. Jammeh</x:t>
  </x:si>
  <x:si>
    <x:t xml:space="preserve">Optimization of Smart Electric Vehicle Charging Using IoT and Hybrid Simulation for Enhanced Operations and Maintenance</x:t>
  </x:si>
  <x:si>
    <x:t xml:space="preserve">Hybrid simulation; IoT telemetry; optimization / reliability modeling</x:t>
  </x:si>
  <x:si>
    <x:t xml:space="preserve">Reliability; downtime; maintenance; operational performance</x:t>
  </x:si>
  <x:si>
    <x:t xml:space="preserve">Layers 3–4 analogue; telemetry-driven distributed infrastructure</x:t>
  </x:si>
  <x:si>
    <x:t xml:space="preserve">Demonstrates how empirical telemetry can feed a hybrid simulation instead of forcing all behavior into one paradigm.</x:t>
  </x:si>
  <x:si>
    <x:t xml:space="preserve">Useful precedent for combining observed communications/compute data with complementary simulation methods.</x:t>
  </x:si>
  <x:si>
    <x:t xml:space="preserve">https://scholarspace.library.gwu.edu/concern/gw_etds/jd472x57t</x:t>
  </x:si>
  <x:si>
    <x:t xml:space="preserve">027</x:t>
  </x:si>
  <x:si>
    <x:t xml:space="preserve">Onyinyechukwu A. Nweze</x:t>
  </x:si>
  <x:si>
    <x:t xml:space="preserve">Utilizing Deep Learning Models to Detect Jamming and Spoofing Attacks on Unmanned Aerial Vehicles</x:t>
  </x:si>
  <x:si>
    <x:t xml:space="preserve">Deep-learning model comparison; multi-source sensor/log classification</x:t>
  </x:si>
  <x:si>
    <x:t xml:space="preserve">Accuracy; precision; recall; F1; degraded-state classification</x:t>
  </x:si>
  <x:si>
    <x:t xml:space="preserve">Layers 2–4–5; degraded communications/navigation</x:t>
  </x:si>
  <x:si>
    <x:t xml:space="preserve">Directly addresses jamming/spoofing as observable degraded system states using multiple subsystem data sources.</x:t>
  </x:si>
  <x:si>
    <x:t xml:space="preserve">Useful for constructing labeled degraded-communications states and evaluating bounded onboard classification.</x:t>
  </x:si>
  <x:si>
    <x:t xml:space="preserve">https://scholarspace.library.gwu.edu/concern/gw_etds/sn009z73z</x:t>
  </x:si>
  <x:si>
    <x:t xml:space="preserve">029</x:t>
  </x:si>
  <x:si>
    <x:t xml:space="preserve">Paul A. Newell Jr.</x:t>
  </x:si>
  <x:si>
    <x:t xml:space="preserve">Reducing System Lifetime Spare Part Quantities Using Obsolescence Cycles: A Discrete Event Simulation</x:t>
  </x:si>
  <x:si>
    <x:t xml:space="preserve">Discrete-event simulation; reliability / repair / inventory / availability modeling</x:t>
  </x:si>
  <x:si>
    <x:t xml:space="preserve">Operational availability; failures; redundancy; repair; spares / lifecycle cost</x:t>
  </x:si>
  <x:si>
    <x:t xml:space="preserve">Layers 1–4; direct satellite C2 ground-system architecture analogue</x:t>
  </x:si>
  <x:si>
    <x:t xml:space="preserve">Near-direct satellite C2/ground-system precedent with stochastic failures, redundancy, repair, and operational availability.</x:t>
  </x:si>
  <x:si>
    <x:t xml:space="preserve">High-value template for availability experiments comparing distributed compute redundancy and degraded ground/space processing.</x:t>
  </x:si>
  <x:si>
    <x:t xml:space="preserve">https://search.proquest.com/openview/88a43e1ad35e4f012b3bb98fb476f41b/1?cbl=18750&amp;diss=y&amp;pq-origsite=gscholar</x:t>
  </x:si>
  <x:si>
    <x:t xml:space="preserve">034</x:t>
  </x:si>
  <x:si>
    <x:t xml:space="preserve">Kishan Ram Devineni</x:t>
  </x:si>
  <x:si>
    <x:t xml:space="preserve">Improving IT Service Incident Ticket Resolution Times using Lean and Agile Methodologies</x:t>
  </x:si>
  <x:si>
    <x:t xml:space="preserve">Arena discrete-event simulation; Monte Carlo; process redesign</x:t>
  </x:si>
  <x:si>
    <x:t xml:space="preserve">Resolution time; waiting time; utilization; process variability</x:t>
  </x:si>
  <x:si>
    <x:t xml:space="preserve">Layers 3–4 analogue; queueing / human-process latency</x:t>
  </x:si>
  <x:si>
    <x:t xml:space="preserve">Separates communication/processing delay from queue and workflow delay using a time-to-resolution system model.</x:t>
  </x:si>
  <x:si>
    <x:t xml:space="preserve">Useful for causal decomposition of end-to-end latency into queues, processing resources, and human workflow effects.</x:t>
  </x:si>
  <x:si>
    <x:t xml:space="preserve">https://scholarspace.library.gwu.edu/concern/gw_etds/2j62s577p</x:t>
  </x:si>
  <x:si>
    <x:t xml:space="preserve">035</x:t>
  </x:si>
  <x:si>
    <x:t xml:space="preserve">Z. I. Jenkins</x:t>
  </x:si>
  <x:si>
    <x:t xml:space="preserve">A Project-Oriented Model-Based Systems Engineering (MBSE) Approach for Naval Decision Support</x:t>
  </x:si>
  <x:si>
    <x:t xml:space="preserve">MBSE tailoring / decision-support methodology</x:t>
  </x:si>
  <x:si>
    <x:t xml:space="preserve">Schedule performance; method suitability; project characteristics</x:t>
  </x:si>
  <x:si>
    <x:t xml:space="preserve">Cross-layer architecture / model-scope decision support</x:t>
  </x:si>
  <x:si>
    <x:t xml:space="preserve">Addresses how much modeling rigor is appropriate to the problem rather than maximizing model complexity.</x:t>
  </x:si>
  <x:si>
    <x:t xml:space="preserve">Useful for defending model scope/fidelity and avoiding an unnecessarily complete model of the entire space architecture.</x:t>
  </x:si>
  <x:si>
    <x:t xml:space="preserve">https://scholarspace.library.gwu.edu/concern/gw_etds/m900nv184</x:t>
  </x:si>
  <x:si>
    <x:t xml:space="preserve">039</x:t>
  </x:si>
  <x:si>
    <x:t xml:space="preserve">Matthew A. Grofsky</x:t>
  </x:si>
  <x:si>
    <x:t xml:space="preserve">AegisShield: Democratizing Cyber Threat Modeling with Generative AI</x:t>
  </x:si>
  <x:si>
    <x:t xml:space="preserve">Generative-AI decision support; structured threat modeling; quantitative evaluation</x:t>
  </x:si>
  <x:si>
    <x:t xml:space="preserve">Semantic agreement; mapping success; readability / complexity; time efficiency</x:t>
  </x:si>
  <x:si>
    <x:t xml:space="preserve">Layer 5 primary; human-machine decision support</x:t>
  </x:si>
  <x:si>
    <x:t xml:space="preserve">Evaluates bounded GenAI decision support against expert-derived references and authoritative external sources.</x:t>
  </x:si>
  <x:si>
    <x:t xml:space="preserve">Useful for human-machine teaming, traceability, reference grounding, and credible AI-assisted recommendations.</x:t>
  </x:si>
  <x:si>
    <x:t xml:space="preserve">https://doi.org/10.5281/zenodo.16888309</x:t>
  </x:si>
  <x:si>
    <x:t xml:space="preserve">AIS Cohort Architecture — Company / Technology Register</x:t>
  </x:si>
  <x:si>
    <x:t xml:space="preserve">Heat reflects relevance to the Praxis solution space, not vendor quality or endorsement.</x:t>
  </x:si>
  <x:si>
    <x:t xml:space="preserve">Layer / Tier</x:t>
  </x:si>
  <x:si>
    <x:t xml:space="preserve">Layer Name</x:t>
  </x:si>
  <x:si>
    <x:t xml:space="preserve">Layer Function</x:t>
  </x:si>
  <x:si>
    <x:t xml:space="preserve">Company</x:t>
  </x:si>
  <x:si>
    <x:t xml:space="preserve">Technology / Descriptor from Slide</x:t>
  </x:si>
  <x:si>
    <x:t xml:space="preserve">Praxis Relevance</x:t>
  </x:si>
  <x:si>
    <x:t xml:space="preserve">Rationale</x:t>
  </x:si>
  <x:si>
    <x:t xml:space="preserve">Cognitive Layer</x:t>
  </x:si>
  <x:si>
    <x:t xml:space="preserve">Autonomous Software &amp; AI/ML</x:t>
  </x:si>
  <x:si>
    <x:t xml:space="preserve">Advanced Space</x:t>
  </x:si>
  <x:si>
    <x:t xml:space="preserve">SIREN autonomous OODA</x:t>
  </x:si>
  <x:si>
    <x:t xml:space="preserve">Direct AI/ML edge decision-cycle relevance</x:t>
  </x:si>
  <x:si>
    <x:t xml:space="preserve">Closest fit to autonomous onboard decision support and OODA compression.</x:t>
  </x:si>
  <x:si>
    <x:t xml:space="preserve">Force AI</x:t>
  </x:si>
  <x:si>
    <x:t xml:space="preserve">STARHELM secure Rust runtime</x:t>
  </x:si>
  <x:si>
    <x:t xml:space="preserve">Edge software/runtime relevance</x:t>
  </x:si>
  <x:si>
    <x:t xml:space="preserve">Directly relevant to onboard autonomous software execution.</x:t>
  </x:si>
  <x:si>
    <x:t xml:space="preserve">Zenith Space</x:t>
  </x:si>
  <x:si>
    <x:t xml:space="preserve">Cislunar CR3BP normal forms</x:t>
  </x:si>
  <x:si>
    <x:t xml:space="preserve">Autonomy / onboard reasoning adjacency</x:t>
  </x:si>
  <x:si>
    <x:t xml:space="preserve">Useful autonomy mathematics, but less direct to latency/edge-processing experiments.</x:t>
  </x:si>
  <x:si>
    <x:t xml:space="preserve">EraDrive</x:t>
  </x:si>
  <x:si>
    <x:t xml:space="preserve">Era-AI NLP foundation model</x:t>
  </x:si>
  <x:si>
    <x:t xml:space="preserve">AI orchestration / operator support</x:t>
  </x:si>
  <x:si>
    <x:t xml:space="preserve">Strong human-machine teaming and AI-assisted decision-support relevance.</x:t>
  </x:si>
  <x:si>
    <x:t xml:space="preserve">O-Astra ISR</x:t>
  </x:si>
  <x:si>
    <x:t xml:space="preserve">LOGAN pre-approved guard</x:t>
  </x:si>
  <x:si>
    <x:t xml:space="preserve">Autonomous ISR / bounded action logic</x:t>
  </x:si>
  <x:si>
    <x:t xml:space="preserve">Direct fit to bounded autonomous sensing-to-action concepts.</x:t>
  </x:si>
  <x:si>
    <x:t xml:space="preserve">In Orbit Aerospace</x:t>
  </x:si>
  <x:si>
    <x:t xml:space="preserve">INTELLACT zero-hallucination AI</x:t>
  </x:si>
  <x:si>
    <x:t xml:space="preserve">Explainable / reliable onboard AI</x:t>
  </x:si>
  <x:si>
    <x:t xml:space="preserve">Strong model-credibility and autonomous decision-support relevance.</x:t>
  </x:si>
  <x:si>
    <x:t xml:space="preserve">Seekr Technologies</x:t>
  </x:si>
  <x:si>
    <x:t xml:space="preserve">SeekrFlow multi-agent AI</x:t>
  </x:si>
  <x:si>
    <x:t xml:space="preserve">AI orchestration / multi-agent coordination</x:t>
  </x:si>
  <x:si>
    <x:t xml:space="preserve">Strong fit to autonomous agents and workload triage.</x:t>
  </x:si>
  <x:si>
    <x:t xml:space="preserve">PiLogic</x:t>
  </x:si>
  <x:si>
    <x:t xml:space="preserve">Manifest exact CPU-only AI</x:t>
  </x:si>
  <x:si>
    <x:t xml:space="preserve">Compute-constrained edge AI</x:t>
  </x:si>
  <x:si>
    <x:t xml:space="preserve">Directly relevant to bounded onboard compute and SWaP constraints.</x:t>
  </x:si>
  <x:si>
    <x:t xml:space="preserve">Synthetic</x:t>
  </x:si>
  <x:si>
    <x:t xml:space="preserve">SUBSPACE on-orbit reconfigurable ML</x:t>
  </x:si>
  <x:si>
    <x:t xml:space="preserve">On-orbit adaptive ML</x:t>
  </x:si>
  <x:si>
    <x:t xml:space="preserve">Direct edge-ML and adaptive onboard processing relevance.</x:t>
  </x:si>
  <x:si>
    <x:t xml:space="preserve">Networking Layer</x:t>
  </x:si>
  <x:si>
    <x:t xml:space="preserve">Secure Routing &amp; Timing</x:t>
  </x:si>
  <x:si>
    <x:t xml:space="preserve">Ephemeris Net</x:t>
  </x:si>
  <x:si>
    <x:t xml:space="preserve">SEP optical Layer 3 routing</x:t>
  </x:si>
  <x:si>
    <x:t xml:space="preserve">Optical networking / routing / DDIL</x:t>
  </x:si>
  <x:si>
    <x:t xml:space="preserve">Direct link to crosslinks, routing, downlink bypass, and communications latency.</x:t>
  </x:si>
  <x:si>
    <x:t xml:space="preserve">Picogrid</x:t>
  </x:si>
  <x:si>
    <x:t xml:space="preserve">MARSO/Legion data middleware</x:t>
  </x:si>
  <x:si>
    <x:t xml:space="preserve">Distributed data middleware</x:t>
  </x:si>
  <x:si>
    <x:t xml:space="preserve">Relevant to moving and managing data across distributed space nodes.</x:t>
  </x:si>
  <x:si>
    <x:t xml:space="preserve">R-DEX Systems</x:t>
  </x:si>
  <x:si>
    <x:t xml:space="preserve">HSA sub-100ps time fabric</x:t>
  </x:si>
  <x:si>
    <x:t xml:space="preserve">Precision timing / network synchronization</x:t>
  </x:si>
  <x:si>
    <x:t xml:space="preserve">Timing is foundational to distributed sensing, networking, and latency measurement.</x:t>
  </x:si>
  <x:si>
    <x:t xml:space="preserve">Hardware Layer</x:t>
  </x:si>
  <x:si>
    <x:t xml:space="preserve">SWaP-C High-TOPS Silicon</x:t>
  </x:si>
  <x:si>
    <x:t xml:space="preserve">Starcloud</x:t>
  </x:si>
  <x:si>
    <x:t xml:space="preserve">H100/Blackwell orbit datacenters</x:t>
  </x:si>
  <x:si>
    <x:t xml:space="preserve">Orbital edge/cloud compute</x:t>
  </x:si>
  <x:si>
    <x:t xml:space="preserve">Near-direct solution-space match for orbital cloud and high-performance edge compute.</x:t>
  </x:si>
  <x:si>
    <x:t xml:space="preserve">Neuron Dynamics</x:t>
  </x:si>
  <x:si>
    <x:t xml:space="preserve">Compute-in-Memory SSM substrates</x:t>
  </x:si>
  <x:si>
    <x:t xml:space="preserve">Edge compute architecture</x:t>
  </x:si>
  <x:si>
    <x:t xml:space="preserve">Relevant to constrained onboard processing performance and power.</x:t>
  </x:si>
  <x:si>
    <x:t xml:space="preserve">Sophia Space</x:t>
  </x:si>
  <x:si>
    <x:t xml:space="preserve">800 TOPS modular TILEs</x:t>
  </x:si>
  <x:si>
    <x:t xml:space="preserve">High-TOPS modular onboard compute</x:t>
  </x:si>
  <x:si>
    <x:t xml:space="preserve">Direct hardware precedent for bounded onboard AI/ML processing.</x:t>
  </x:si>
  <x:si>
    <x:t xml:space="preserve">Web Sensing</x:t>
  </x:si>
  <x:si>
    <x:t xml:space="preserve">SpaceCortex GPU-in-FPGA fabric</x:t>
  </x:si>
  <x:si>
    <x:t xml:space="preserve">Radiation/space compute fabric</x:t>
  </x:si>
  <x:si>
    <x:t xml:space="preserve">Strong implementation relevance for onboard compute architecture.</x:t>
  </x:si>
  <x:si>
    <x:t xml:space="preserve">Aethero Space</x:t>
  </x:si>
  <x:si>
    <x:t xml:space="preserve">Radiation-resilient GPUs</x:t>
  </x:si>
  <x:si>
    <x:t xml:space="preserve">Space-qualified GPU compute</x:t>
  </x:si>
  <x:si>
    <x:t xml:space="preserve">Directly relevant to edge-processing feasibility and resilience.</x:t>
  </x:si>
  <x:si>
    <x:t xml:space="preserve">Perception Layer</x:t>
  </x:si>
  <x:si>
    <x:t xml:space="preserve">Multi-Modal Sensor Payloads</x:t>
  </x:si>
  <x:si>
    <x:t xml:space="preserve">Array Labs</x:t>
  </x:si>
  <x:si>
    <x:t xml:space="preserve">GaN active radar flat tiles</x:t>
  </x:si>
  <x:si>
    <x:t xml:space="preserve">SDA sensing / data-generation source</x:t>
  </x:si>
  <x:si>
    <x:t xml:space="preserve">Relevant as a high-data-rate sensing source feeding the edge-processing problem.</x:t>
  </x:si>
  <x:si>
    <x:t xml:space="preserve">Mithril Tech</x:t>
  </x:si>
  <x:si>
    <x:t xml:space="preserve">Electrostatically-actuated mesh</x:t>
  </x:si>
  <x:si>
    <x:t xml:space="preserve">Sensor/payload architecture adjacency</x:t>
  </x:si>
  <x:si>
    <x:t xml:space="preserve">Supports perception-layer architecture but is less direct to modeling latency or AI processing.</x:t>
  </x:si>
  <x:si>
    <x:t xml:space="preserve">EO Solutions</x:t>
  </x:si>
  <x:si>
    <x:t xml:space="preserve">Passive RF signature fingerprinting</x:t>
  </x:si>
  <x:si>
    <x:t xml:space="preserve">SDA sensing / RF characterization</x:t>
  </x:si>
  <x:si>
    <x:t xml:space="preserve">Directly relevant to SDA sensing and onboard exploitation opportunities.</x:t>
  </x:si>
  <x:si>
    <x:t xml:space="preserve">ThinkOrbital</x:t>
  </x:si>
  <x:si>
    <x:t xml:space="preserve">ThinkX space-to-space X-ray</x:t>
  </x:si>
  <x:si>
    <x:t xml:space="preserve">Novel sensing / high-data payload</x:t>
  </x:si>
  <x:si>
    <x:t xml:space="preserve">Relevant as a sensor source; useful mainly as a workload/data-volume driver.</x:t>
  </x:si>
  <x:si>
    <x:t xml:space="preserve">OWL Integrations</x:t>
  </x:si>
  <x:si>
    <x:t xml:space="preserve">Commodity SDR passive-RF mesh</x:t>
  </x:si>
  <x:si>
    <x:t xml:space="preserve">Distributed RF sensing / networking</x:t>
  </x:si>
  <x:si>
    <x:t xml:space="preserve">Strong fit to distributed perception, edge processing, and communications-constrained operations.</x:t>
  </x:si>
  <x:si>
    <x:t xml:space="preserve">Raptor Dynamix</x:t>
  </x:si>
  <x:si>
    <x:t xml:space="preserve">ARGUS electro-optical &amp; plasma</x:t>
  </x:si>
  <x:si>
    <x:t xml:space="preserve">EO / plasma sensing</x:t>
  </x:si>
  <x:si>
    <x:t xml:space="preserve">Relevant perception input, but not itself the core edge-processing mechanism.</x:t>
  </x:si>
  <x:si>
    <x:t xml:space="preserve">Platform Layer</x:t>
  </x:si>
  <x:si>
    <x:t xml:space="preserve">High-Maneuver Spacecraft</x:t>
  </x:si>
  <x:si>
    <x:t xml:space="preserve">Orbital Operations</x:t>
  </x:si>
  <x:si>
    <x:t xml:space="preserve">Astraeus LH2/LOX bus + active RBC cooling</x:t>
  </x:si>
  <x:si>
    <x:t xml:space="preserve">Platform / thermal / maneuver support</x:t>
  </x:si>
  <x:si>
    <x:t xml:space="preserve">Enabling spacecraft layer, but outside the likely core quantitative scope of the Praxis.</x:t>
  </x:si>
  <x:si>
    <x:t xml:space="preserve">Fortastra Corp</x:t>
  </x:si>
  <x:si>
    <x:t xml:space="preserve">Watchdog maneuvering platform (800+ m/s)</x:t>
  </x:si>
  <x:si>
    <x:t xml:space="preserve">Autonomous maneuver / defensive response</x:t>
  </x:si>
  <x:si>
    <x:t xml:space="preserve">Relevant if the Praxis extends from decision support into bounded action or maneuver response.</x:t>
  </x:si>
  <x:si>
    <x:t xml:space="preserve">Space Kinetic</x:t>
  </x:si>
  <x:si>
    <x:t xml:space="preserve">Whirlwind propellantless payload deployment</x:t>
  </x:si>
  <x:si>
    <x:t xml:space="preserve">Platform / deployment</x:t>
  </x:si>
  <x:si>
    <x:t xml:space="preserve">Important architecture enabler but relatively distant from edge compute, latency, and AI/ML focus.</x:t>
  </x:si>
  <x:si>
    <x:t xml:space="preserve">Hot–Warm–Cold Relevance Schema</x:t>
  </x:si>
  <x:si>
    <x:t xml:space="preserve">Bias rule: de-nude the domain nouns. First score the generic problem structure, transferable method/metrics, and V&amp;V evidence; space/AIS domain proximity supports relevance but never overrides a better structural analogue.</x:t>
  </x:si>
  <x:si>
    <x:t xml:space="preserve">Dimension</x:t>
  </x:si>
  <x:si>
    <x:t xml:space="preserve">Max</x:t>
  </x:si>
  <x:si>
    <x:t xml:space="preserve">What earns a high score</x:t>
  </x:si>
  <x:si>
    <x:t xml:space="preserve">Praxis interpretation</x:t>
  </x:si>
  <x:si>
    <x:t xml:space="preserve">Examples</x:t>
  </x:si>
  <x:si>
    <x:t xml:space="preserve">Bias</x:t>
  </x:si>
  <x:si>
    <x:t xml:space="preserve">Method Fit</x:t>
  </x:si>
  <x:si>
    <x:t xml:space="preserve">DES, Monte Carlo, simulation, optimization, ML comparison</x:t>
  </x:si>
  <x:si>
    <x:t xml:space="preserve">Can the method be reused or adapted directly?</x:t>
  </x:si>
  <x:si>
    <x:t xml:space="preserve">MATLAB/Simulink, DES, Monte Carlo</x:t>
  </x:si>
  <x:si>
    <x:t xml:space="preserve">Quantitative</x:t>
  </x:si>
  <x:si>
    <x:t xml:space="preserve">Metric Fit</x:t>
  </x:si>
  <x:si>
    <x:t xml:space="preserve">Latency, wait time, availability, resilience, workload, decision-cycle time</x:t>
  </x:si>
  <x:si>
    <x:t xml:space="preserve">Does the work measure the outcomes Carlo actually cares about?</x:t>
  </x:si>
  <x:si>
    <x:t xml:space="preserve">Latency CDFs, utilization, recovery, accuracy</x:t>
  </x:si>
  <x:si>
    <x:t xml:space="preserve">Tool/Data/V&amp;V Fit</x:t>
  </x:si>
  <x:si>
    <x:t xml:space="preserve">Executable tools, public datasets, sensitivity, validation</x:t>
  </x:si>
  <x:si>
    <x:t xml:space="preserve">Can the modeling workflow and evidence chain be replicated?</x:t>
  </x:si>
  <x:si>
    <x:t xml:space="preserve">MATLAB, Python, public data, expert V&amp;V</x:t>
  </x:si>
  <x:si>
    <x:t xml:space="preserve">Domain Fit</x:t>
  </x:si>
  <x:si>
    <x:t xml:space="preserve">Space/orbital/edge/communications relevance; supportive, never controlling when a non-space analogue matches the underlying problem better</x:t>
  </x:si>
  <x:si>
    <x:t xml:space="preserve">How close is the application domain after the generic problem has already been characterized?</x:t>
  </x:si>
  <x:si>
    <x:t xml:space="preserve">On-orbit ISR, optical crosslinks, edge AI</x:t>
  </x:si>
  <x:si>
    <x:t xml:space="preserve">Qualitative</x:t>
  </x:si>
  <x:si>
    <x:t xml:space="preserve">Layer Fit</x:t>
  </x:si>
  <x:si>
    <x:t xml:space="preserve">Clear mapping to one or more AIS architecture layers</x:t>
  </x:si>
  <x:si>
    <x:t xml:space="preserve">Does it illuminate the architecture segment being modeled?</x:t>
  </x:si>
  <x:si>
    <x:t xml:space="preserve">Perception, hardware, networking, cognitive</x:t>
  </x:si>
  <x:si>
    <x:t xml:space="preserve">Praxis Transfer</x:t>
  </x:si>
  <x:si>
    <x:t xml:space="preserve">Strong decision-support / bounded-system relevance</x:t>
  </x:si>
  <x:si>
    <x:t xml:space="preserve">Can it sharpen RQs, experiment design, V&amp;V, or interpretation?</x:t>
  </x:si>
  <x:si>
    <x:t xml:space="preserve">Architecture trade study, operator support</x:t>
  </x:si>
  <x:si>
    <x:t xml:space="preserve">Score Range</x:t>
  </x:si>
  <x:si>
    <x:t xml:space="preserve">Meaning</x:t>
  </x:si>
  <x:si>
    <x:t xml:space="preserve">75–100</x:t>
  </x:si>
  <x:si>
    <x:t xml:space="preserve">Closest / most reusable. Read first; likely citation or method precedent.</x:t>
  </x:si>
  <x:si>
    <x:t xml:space="preserve">50–74</x:t>
  </x:si>
  <x:si>
    <x:t xml:space="preserve">Useful adjacent precedent or supporting method/domain analogue.</x:t>
  </x:si>
  <x:si>
    <x:t xml:space="preserve">0–49</x:t>
  </x:si>
  <x:si>
    <x:t xml:space="preserve">Context or enabling architecture; retain but do not prioritize for core Praxis design.</x:t>
  </x:si>
  <x:si>
    <x:t xml:space="preserve">AIS Layer / Tier</x:t>
  </x:si>
  <x:si>
    <x:t xml:space="preserve">Primary Function</x:t>
  </x:si>
  <x:si>
    <x:t xml:space="preserve">Likely Praxis Relationship</x:t>
  </x:si>
  <x:si>
    <x:t xml:space="preserve">Perception</x:t>
  </x:si>
  <x:si>
    <x:t xml:space="preserve">Multi-modal sensing</x:t>
  </x:si>
  <x:si>
    <x:t xml:space="preserve">Potential input/source of high-volume data requiring onboard exploitation</x:t>
  </x:si>
  <x:si>
    <x:t xml:space="preserve">Hardware</x:t>
  </x:si>
  <x:si>
    <x:t xml:space="preserve">SWaP-C / high-TOPS compute</x:t>
  </x:si>
  <x:si>
    <x:t xml:space="preserve">Likely core implementation constraint for bounded edge processing</x:t>
  </x:si>
  <x:si>
    <x:t xml:space="preserve">Networking</x:t>
  </x:si>
  <x:si>
    <x:t xml:space="preserve">Secure routing &amp; timing</x:t>
  </x:si>
  <x:si>
    <x:t xml:space="preserve">Likely core link-state / latency / DDIL environment</x:t>
  </x:si>
  <x:si>
    <x:t xml:space="preserve">Cognitive</x:t>
  </x:si>
  <x:si>
    <x:t xml:space="preserve">Autonomous software &amp; AI/ML</x:t>
  </x:si>
  <x:si>
    <x:t xml:space="preserve">Likely core decision-support / AI processing layer</x:t>
  </x:si>
  <x:si>
    <x:t xml:space="preserve">Platform</x:t>
  </x:si>
  <x:si>
    <x:t xml:space="preserve">Spacecraft bus / maneuver</x:t>
  </x:si>
  <x:si>
    <x:t xml:space="preserve">Generally enabling or boundary condition unless maneuver/autonomy enters scope</x:t>
  </x:si>
  <x:si>
    <x:t xml:space="preserve">Hybrid Company↔Research Scoring</x:t>
  </x:si>
  <x:si>
    <x:t xml:space="preserve">Component</x:t>
  </x:si>
  <x:si>
    <x:t xml:space="preserve">Weight</x:t>
  </x:si>
  <x:si>
    <x:t xml:space="preserve">Purpose</x:t>
  </x:si>
  <x:si>
    <x:t xml:space="preserve">Interpretation</x:t>
  </x:si>
  <x:si>
    <x:t xml:space="preserve">Update behavior</x:t>
  </x:si>
  <x:si>
    <x:t xml:space="preserve">Research bias</x:t>
  </x:si>
  <x:si>
    <x:t xml:space="preserve">Research Base</x:t>
  </x:si>
  <x:si>
    <x:t xml:space="preserve">Preserves the research paper's methodological value</x:t>
  </x:si>
  <x:si>
    <x:t xml:space="preserve">High-value methods remain valuable even outside space</x:t>
  </x:si>
  <x:si>
    <x:t xml:space="preserve">Changes as the research register is rescored</x:t>
  </x:si>
  <x:si>
    <x:t xml:space="preserve">Primary</x:t>
  </x:si>
  <x:si>
    <x:t xml:space="preserve">Structural Pair Affinity</x:t>
  </x:si>
  <x:si>
    <x:t xml:space="preserve">Measures how well the paper explains the generic problem represented by the company/layer</x:t>
  </x:si>
  <x:si>
    <x:t xml:space="preserve">Layer match + technology-specific problem similarity</x:t>
  </x:si>
  <x:si>
    <x:t xml:space="preserve">Refines as more papers reveal better problem analogues</x:t>
  </x:si>
  <x:si>
    <x:t xml:space="preserve">Company Relevance</x:t>
  </x:si>
  <x:si>
    <x:t xml:space="preserve">Keeps current AIS solution-space proximity in the calculation</x:t>
  </x:si>
  <x:si>
    <x:t xml:space="preserve">Prevents architecture-enabling vendors from disappearing entirely</x:t>
  </x:si>
  <x:si>
    <x:t xml:space="preserve">Can change as Praxis scope hardens</x:t>
  </x:si>
  <x:si>
    <x:t xml:space="preserve">Secondary</x:t>
  </x:si>
  <x:si>
    <x:t xml:space="preserve">Hybrid Heat</x:t>
  </x:si>
  <x:si>
    <x:t xml:space="preserve">Threshold</x:t>
  </x:si>
  <x:si>
    <x:t xml:space="preserve">HOT / WARM / COLD</x:t>
  </x:si>
  <x:si>
    <x:t xml:space="preserve">HOT ≥80; WARM 60–79.9; COLD &lt;60</x:t>
  </x:si>
  <x:si>
    <x:t xml:space="preserve">Current best-fit research priority, not a vendor-quality rating</x:t>
  </x:si>
  <x:si>
    <x:t xml:space="preserve">AIS Company ↔ Research Hybridization — Best-Fit Crosswalk</x:t>
  </x:si>
  <x:si>
    <x:t xml:space="preserve">Updated through Reading 039. Hybrid = 45% Research Base + 40% Structural Pair Affinity + 15% Company Relevance. Structural problem similarity outranks superficial space-domain matching.</x:t>
  </x:si>
  <x:si>
    <x:t xml:space="preserve">Company Rank</x:t>
  </x:si>
  <x:si>
    <x:t xml:space="preserve">Layer</x:t>
  </x:si>
  <x:si>
    <x:t xml:space="preserve">Technology</x:t>
  </x:si>
  <x:si>
    <x:t xml:space="preserve">Company Heat</x:t>
  </x:si>
  <x:si>
    <x:t xml:space="preserve">Research Rank</x:t>
  </x:si>
  <x:si>
    <x:t xml:space="preserve">Researcher</x:t>
  </x:si>
  <x:si>
    <x:t xml:space="preserve">Pair Affinity</x:t>
  </x:si>
  <x:si>
    <x:t xml:space="preserve">Company Base</x:t>
  </x:si>
  <x:si>
    <x:t xml:space="preserve">Hybrid Score</x:t>
  </x:si>
  <x:si>
    <x:t xml:space="preserve">Why This Pair Matters</x:t>
  </x:si>
  <x:si>
    <x:t xml:space="preserve">Edge-AI experiment; deep learning / YOLOv8 on constrained hardware applied to the Layer 3 problem structure; pair affinity 100/100. High-priority precedent for method selection, modeling, or V&amp;V.</x:t>
  </x:si>
  <x:si>
    <x:t xml:space="preserve">Generative discrete-event simulation; cloud-resource overcommitment applied to the Layer 3 problem structure; pair affinity 100/100. High-priority precedent for method selection, modeling, or V&amp;V.</x:t>
  </x:si>
  <x:si>
    <x:t xml:space="preserve">Comparative simulation of human and AI operators applied to the Layer 3 problem structure; pair affinity 100/100. High-priority precedent for method selection, modeling, or V&amp;V.</x:t>
  </x:si>
  <x:si>
    <x:t xml:space="preserve">Real-time edge-AI experiment; super-resolution + object detection applied to the Layer 3 problem structure; pair affinity 100/100. High-priority precedent for method selection, modeling, or V&amp;V.</x:t>
  </x:si>
  <x:si>
    <x:t xml:space="preserve">Edge-AI experiment; deep learning / YOLOv8 on constrained hardware applied to the Layer 2 problem structure; pair affinity 98/100. High-priority precedent for method selection, modeling, or V&amp;V.</x:t>
  </x:si>
  <x:si>
    <x:t xml:space="preserve">Deep-learning model comparison; multi-source sensor/log classification applied to the Layer 2 problem structure; pair affinity 100/100. High-priority precedent for method selection, modeling, or V&amp;V.</x:t>
  </x:si>
  <x:si>
    <x:t xml:space="preserve">Real-time edge-AI experiment; super-resolution + object detection applied to the Layer 2 problem structure; pair affinity 95/100. High-priority precedent for method selection, modeling, or V&amp;V.</x:t>
  </x:si>
  <x:si>
    <x:t xml:space="preserve">Generative discrete-event simulation; cloud-resource overcommitment applied to the Layer 4 problem structure; pair affinity 98/100. High-priority precedent for method selection, modeling, or V&amp;V.</x:t>
  </x:si>
  <x:si>
    <x:t xml:space="preserve">Federated learning; distributed edge architecture applied to the Layer 4 problem structure; pair affinity 100/100. High-priority precedent for method selection, modeling, or V&amp;V.</x:t>
  </x:si>
  <x:si>
    <x:t xml:space="preserve">Percolation / network-resilience modeling; node/link removal applied to the Layer 4 problem structure; pair affinity 100/100. High-priority precedent for method selection, modeling, or V&amp;V.</x:t>
  </x:si>
  <x:si>
    <x:t xml:space="preserve">Edge-AI experiment; deep learning / YOLOv8 on constrained hardware applied to the Layer 2 problem structure; pair affinity 96/100. High-priority precedent for method selection, modeling, or V&amp;V.</x:t>
  </x:si>
  <x:si>
    <x:t xml:space="preserve">Comparative simulation of human and AI operators applied to the Layer 5 problem structure; pair affinity 100/100. High-priority precedent for method selection, modeling, or V&amp;V.</x:t>
  </x:si>
  <x:si>
    <x:t xml:space="preserve">Federated learning; distributed edge architecture applied to the Layer 5 problem structure; pair affinity 96/100. High-priority precedent for method selection, modeling, or V&amp;V.</x:t>
  </x:si>
  <x:si>
    <x:t xml:space="preserve">AI/CAS lifecycle assurance methodology; continuous monitoring and revalidation applied to the Layer 5 problem structure; pair affinity 100/100. High-priority precedent for method selection, modeling, or V&amp;V.</x:t>
  </x:si>
  <x:si>
    <x:t xml:space="preserve">Edge-AI experiment; deep learning / YOLOv8 on constrained hardware applied to the Layer 5 problem structure; pair affinity 90/100. High-priority precedent for method selection, modeling, or V&amp;V.</x:t>
  </x:si>
  <x:si>
    <x:t xml:space="preserve">Deep-learning model comparison; multi-source sensor/log classification applied to the Layer 5 problem structure; pair affinity 93/100. High-priority precedent for method selection, modeling, or V&amp;V.</x:t>
  </x:si>
  <x:si>
    <x:t xml:space="preserve">Federated learning; distributed edge architecture applied to the Layer 5 problem structure; pair affinity 100/100. High-priority precedent for method selection, modeling, or V&amp;V.</x:t>
  </x:si>
  <x:si>
    <x:t xml:space="preserve">Edge-AI experiment; deep learning / YOLOv8 on constrained hardware applied to the Layer 5 problem structure; pair affinity 88/100. High-priority precedent for method selection, modeling, or V&amp;V.</x:t>
  </x:si>
  <x:si>
    <x:t xml:space="preserve">Deep-learning model comparison; multi-source sensor/log classification applied to the Layer 4 problem structure; pair affinity 100/100. High-priority precedent for method selection, modeling, or V&amp;V.</x:t>
  </x:si>
  <x:si>
    <x:t xml:space="preserve">Discrete-event simulation; reliability / repair / inventory / availability modeling applied to the Layer 1 problem structure; pair affinity 96/100. High-priority precedent for method selection, modeling, or V&amp;V.</x:t>
  </x:si>
  <x:si>
    <x:t xml:space="preserve">Monte Carlo; MATLAB/Simulink timeline model; sensitivity analysis; expert elicitation applied to the Layer 1 problem structure; pair affinity 100/100. High-priority precedent for method selection, modeling, or V&amp;V.</x:t>
  </x:si>
  <x:si>
    <x:t xml:space="preserve">Discrete-event simulation; reliability; sensitivity analysis applied to the Layer 1 problem structure; pair affinity 85/100. High-priority precedent for method selection, modeling, or V&amp;V.</x:t>
  </x:si>
  <x:si>
    <x:t xml:space="preserve">Edge-AI experiment; deep learning / YOLOv8 on constrained hardware applied to the Layer 2 problem structure; pair affinity 100/100. High-priority precedent for method selection, modeling, or V&amp;V.</x:t>
  </x:si>
  <x:si>
    <x:t xml:space="preserve">Real-time edge-AI experiment; super-resolution + object detection applied to the Layer 2 problem structure; pair affinity 100/100. High-priority precedent for method selection, modeling, or V&amp;V.</x:t>
  </x:si>
  <x:si>
    <x:t xml:space="preserve">Deep-learning model comparison; multi-source sensor/log classification applied to the Layer 2 problem structure; pair affinity 90/100. High-priority precedent for method selection, modeling, or V&amp;V.</x:t>
  </x:si>
  <x:si>
    <x:t xml:space="preserve">Federated learning; distributed edge architecture applied to the Layer 5 problem structure; pair affinity 90/100. High-priority precedent for method selection, modeling, or V&amp;V.</x:t>
  </x:si>
  <x:si>
    <x:t xml:space="preserve">Edge-AI experiment; deep learning / YOLOv8 on constrained hardware applied to the Layer 2 problem structure; pair affinity 95/100. High-priority precedent for method selection, modeling, or V&amp;V.</x:t>
  </x:si>
  <x:si>
    <x:t xml:space="preserve">Deep-learning model comparison; multi-source sensor/log classification applied to the Layer 2 problem structure; pair affinity 94/100. High-priority precedent for method selection, modeling, or V&amp;V.</x:t>
  </x:si>
  <x:si>
    <x:t xml:space="preserve">Generative-AI decision support; structured threat modeling; quantitative evaluation applied to the Layer 5 problem structure; pair affinity 100/100. High-priority precedent for method selection, modeling, or V&amp;V.</x:t>
  </x:si>
  <x:si>
    <x:t xml:space="preserve">Deep-learning model comparison; multi-source sensor/log classification applied to the Layer 5 problem structure; pair affinity 85/100. High-priority precedent for method selection, modeling, or V&amp;V.</x:t>
  </x:si>
  <x:si>
    <x:t xml:space="preserve">Comparative simulation of human and AI operators applied to the Layer 5 problem structure; pair affinity 90/100. High-priority precedent for method selection, modeling, or V&amp;V.</x:t>
  </x:si>
  <x:si>
    <x:t xml:space="preserve">Discrete-event simulation; reliability / repair / inventory / availability modeling applied to the Layer 1 problem structure; pair affinity 100/100. High-priority precedent for method selection, modeling, or V&amp;V.</x:t>
  </x:si>
  <x:si>
    <x:t xml:space="preserve">Discrete-event simulation; reliability; sensitivity analysis applied to the Layer 1 problem structure; pair affinity 93/100. Useful supporting analogue; likely secondary rather than governing precedent.</x:t>
  </x:si>
  <x:si>
    <x:t xml:space="preserve">Discrete-event simulation; reliability / repair / inventory / availability modeling applied to the Layer 1 problem structure; pair affinity 98/100. High-priority precedent for method selection, modeling, or V&amp;V.</x:t>
  </x:si>
  <x:si>
    <x:t xml:space="preserve">Discrete-event simulation; reliability; sensitivity analysis applied to the Layer 1 problem structure; pair affinity 90/100. Useful supporting analogue; likely secondary rather than governing precedent.</x:t>
  </x:si>
  <x:si>
    <x:t xml:space="preserve">Hybrid Score Matrix — Company × Research Source</x:t>
  </x:si>
  <x:si>
    <x:t xml:space="preserve">Updated through Reading 039. Higher score = stronger current research pairing; duplicated daily rereads are consolidated to the first unique source.</x:t>
  </x:si>
  <x:si>
    <x:t xml:space="preserve">TEST John M. Bauer</x:t>
  </x:si>
  <x:si>
    <x:t xml:space="preserve">001 John R. Mueller</x:t>
  </x:si>
  <x:si>
    <x:t xml:space="preserve">002 Nesrine Nagui Taha</x:t>
  </x:si>
  <x:si>
    <x:t xml:space="preserve">003 Nila Fridley</x:t>
  </x:si>
  <x:si>
    <x:t xml:space="preserve">004 Dylan Browne</x:t>
  </x:si>
  <x:si>
    <x:t xml:space="preserve">005 Scott Littlefield</x:t>
  </x:si>
  <x:si>
    <x:t xml:space="preserve">006 Kenneth Stavish</x:t>
  </x:si>
  <x:si>
    <x:t xml:space="preserve">007 Jonathan C. Bierce</x:t>
  </x:si>
  <x:si>
    <x:t xml:space="preserve">008 Phillip C. Reid</x:t>
  </x:si>
  <x:si>
    <x:t xml:space="preserve">009 Caesar Sanosa Benipayo</x:t>
  </x:si>
  <x:si>
    <x:t xml:space="preserve">010 James Newsom</x:t>
  </x:si>
  <x:si>
    <x:t xml:space="preserve">011 Douglas McGowan</x:t>
  </x:si>
  <x:si>
    <x:t xml:space="preserve">012 Ravi M. Shanbhag</x:t>
  </x:si>
  <x:si>
    <x:t xml:space="preserve">013 Sean Brendan Smith</x:t>
  </x:si>
  <x:si>
    <x:t xml:space="preserve">014 Said M. Rachidi</x:t>
  </x:si>
  <x:si>
    <x:t xml:space="preserve">015 Carl E. Busart III</x:t>
  </x:si>
  <x:si>
    <x:t xml:space="preserve">016 George Grama</x:t>
  </x:si>
  <x:si>
    <x:t xml:space="preserve">017 Laura B. Hugill</x:t>
  </x:si>
  <x:si>
    <x:t xml:space="preserve">018 Shane Robinson</x:t>
  </x:si>
  <x:si>
    <x:t xml:space="preserve">019 Tony Donell Barber</x:t>
  </x:si>
  <x:si>
    <x:t xml:space="preserve">020 Santiago Lattanzio</x:t>
  </x:si>
  <x:si>
    <x:t xml:space="preserve">021 Chibuike S. Abana</x:t>
  </x:si>
  <x:si>
    <x:t xml:space="preserve">022 Samuel Dean Connor</x:t>
  </x:si>
  <x:si>
    <x:t xml:space="preserve">023 Noran Abraham</x:t>
  </x:si>
  <x:si>
    <x:t xml:space="preserve">024 David Matthew Mahalak</x:t>
  </x:si>
  <x:si>
    <x:t xml:space="preserve">026 Momodou M. Jammeh</x:t>
  </x:si>
  <x:si>
    <x:t xml:space="preserve">027 Onyinyechukwu A. Nweze</x:t>
  </x:si>
  <x:si>
    <x:t xml:space="preserve">029 Paul A. Newell Jr.</x:t>
  </x:si>
  <x:si>
    <x:t xml:space="preserve">034 Kishan Ram Devineni</x:t>
  </x:si>
  <x:si>
    <x:t xml:space="preserve">035 Z. I. Jenkins</x:t>
  </x:si>
  <x:si>
    <x:t xml:space="preserve">039 Matthew A. Grofsky</x:t>
  </x:si>
  <x:si>
    <x:t xml:space="preserve">International Research Data Requests — Priority &amp; Mailing Register</x:t>
  </x:si>
  <x:si>
    <x:t xml:space="preserve">Purpose: obtain public, scientifically defensible data that parameterize degraded, disrupted, intermittent, or resource-constrained conditions relevant to the Praxis.</x:t>
  </x:si>
  <x:si>
    <x:t xml:space="preserve">Primary outreach wave = priorities 1–6.  Main bucket = strongest reason to contact; secondary buckets show additional value.</x:t>
  </x:si>
  <x:si>
    <x:t xml:space="preserve">Priority</x:t>
  </x:si>
  <x:si>
    <x:t xml:space="preserve">Tier</x:t>
  </x:si>
  <x:si>
    <x:t xml:space="preserve">Country</x:t>
  </x:si>
  <x:si>
    <x:t xml:space="preserve">Entity / Program</x:t>
  </x:si>
  <x:si>
    <x:t xml:space="preserve">Main Data Bucket</x:t>
  </x:si>
  <x:si>
    <x:t xml:space="preserve">Secondary Buckets</x:t>
  </x:si>
  <x:si>
    <x:t xml:space="preserve">Mailing Address</x:t>
  </x:si>
  <x:si>
    <x:t xml:space="preserve">POC / Office</x:t>
  </x:si>
  <x:si>
    <x:t xml:space="preserve">Email</x:t>
  </x:si>
  <x:si>
    <x:t xml:space="preserve">Website / Intake</x:t>
  </x:si>
  <x:si>
    <x:t xml:space="preserve">Status</x:t>
  </x:si>
  <x:si>
    <x:t xml:space="preserve">Date Sent</x:t>
  </x:si>
  <x:si>
    <x:t xml:space="preserve">Response Date</x:t>
  </x:si>
  <x:si>
    <x:t xml:space="preserve">Notes</x:t>
  </x:si>
  <x:si>
    <x:t xml:space="preserve">Tier 1 - Primary</x:t>
  </x:si>
  <x:si>
    <x:t xml:space="preserve">Japan</x:t>
  </x:si>
  <x:si>
    <x:t xml:space="preserve">NICT — World Data Center for Ionosphere &amp; Space Weather</x:t>
  </x:si>
  <x:si>
    <x:t xml:space="preserve">Downlink Bottlenecks &amp; DDIL</x:t>
  </x:si>
  <x:si>
    <x:t xml:space="preserve">Persistent SDA; bounded-response trigger data; workload-event volume</x:t>
  </x:si>
  <x:si>
    <x:t xml:space="preserve">World Data Center for Ionosphere and Space Weather, Space Environment Laboratory, Applied Electromagnetic Research Center, NICT, 4-2-1 Nukui-Kitamachi, Koganei, Tokyo 184-8795, JAPAN</x:t>
  </x:si>
  <x:si>
    <x:t xml:space="preserve">World Data Center for Ionosphere &amp; Space Weather</x:t>
  </x:si>
  <x:si>
    <x:t xml:space="preserve">iono@ml.nict.go.jp</x:t>
  </x:si>
  <x:si>
    <x:t xml:space="preserve">https://wdc.nict.go.jp/wdc-top/contact.html</x:t>
  </x:si>
  <x:si>
    <x:t xml:space="preserve">Not Contacted</x:t>
  </x:si>
  <x:si>
    <x:t xml:space="preserve">Explicit scientific data-request route; high-value ionospheric and solar-event data.</x:t>
  </x:si>
  <x:si>
    <x:t xml:space="preserve">Canada</x:t>
  </x:si>
  <x:si>
    <x:t xml:space="preserve">University of Victoria — LENS / Starlink@PanLab</x:t>
  </x:si>
  <x:si>
    <x:t xml:space="preserve">Decision / Kill-Chain Latency</x:t>
  </x:si>
  <x:si>
    <x:t xml:space="preserve">Downlink Bottlenecks &amp; DDIL; response/recovery timing</x:t>
  </x:si>
  <x:si>
    <x:t xml:space="preserve">Department of Computer Science, University of Victoria, Engineering &amp; Computer Science Building, Room 504, PO Box 1700 STN CSC, Victoria, BC V8W 2Y2, CANADA</x:t>
  </x:si>
  <x:si>
    <x:t xml:space="preserve">Jinwei Zhao; Prof. Jianping Pan</x:t>
  </x:si>
  <x:si>
    <x:t xml:space="preserve">clarkzjw@uvic.ca; pan@uvic.ca</x:t>
  </x:si>
  <x:si>
    <x:t xml:space="preserve">https://onlineacademiccommunity.uvic.ca/starlink/</x:t>
  </x:si>
  <x:si>
    <x:t xml:space="preserve">Most direct latency/performance target.</x:t>
  </x:si>
  <x:si>
    <x:t xml:space="preserve">Germany / Netherlands</x:t>
  </x:si>
  <x:si>
    <x:t xml:space="preserve">WetLinks — Osnabrück University / University of Twente</x:t>
  </x:si>
  <x:si>
    <x:t xml:space="preserve">Decision / Kill-Chain Latency; environmental correlation</x:t>
  </x:si>
  <x:si>
    <x:t xml:space="preserve">c/o Distributed Systems Group, Institute of Computer Science, Osnabrück University, Friedrich-Janssen-Str. 1, 49076 Osnabrück, GERMANY</x:t>
  </x:si>
  <x:si>
    <x:t xml:space="preserve">Dominic Laniewski; Prof. Nils Aschenbruck; Prof. Roland van Rijswijk-Deij</x:t>
  </x:si>
  <x:si>
    <x:t xml:space="preserve">laniewski@uni-osnabrueck.de; aschenbruck@uni-osnabrueck.de; r.m.vanrijswijk@utwente.nl</x:t>
  </x:si>
  <x:si>
    <x:t xml:space="preserve">https://arxiv.org/abs/2402.16448</x:t>
  </x:si>
  <x:si>
    <x:t xml:space="preserve">Measured Starlink RTT, loss, throughput, traceroute + weather context.</x:t>
  </x:si>
  <x:si>
    <x:t xml:space="preserve">Netherlands</x:t>
  </x:si>
  <x:si>
    <x:t xml:space="preserve">RIPE NCC — RIPE Atlas</x:t>
  </x:si>
  <x:si>
    <x:t xml:space="preserve">Downlink Bottlenecks &amp; DDIL; outage/recovery; event-volume inputs</x:t>
  </x:si>
  <x:si>
    <x:t xml:space="preserve">RIPE Network Coordination Centre, P.O. Box 10096, 1001 EB Amsterdam, NETHERLANDS</x:t>
  </x:si>
  <x:si>
    <x:t xml:space="preserve">RIPE Atlas Team</x:t>
  </x:si>
  <x:si>
    <x:t xml:space="preserve">atlas@ripe.net</x:t>
  </x:si>
  <x:si>
    <x:t xml:space="preserve">https://atlas.ripe.net/</x:t>
  </x:si>
  <x:si>
    <x:t xml:space="preserve">Potential independent/original active measurement campaign.</x:t>
  </x:si>
  <x:si>
    <x:t xml:space="preserve">New Zealand</x:t>
  </x:si>
  <x:si>
    <x:t xml:space="preserve">University of Otago — Solar Tsunamis / MANA Network</x:t>
  </x:si>
  <x:si>
    <x:t xml:space="preserve">DDIL / Environmental Degradation</x:t>
  </x:si>
  <x:si>
    <x:t xml:space="preserve">Persistent SDA</x:t>
  </x:si>
  <x:si>
    <x:t xml:space="preserve">c/o Department of Physics, University of Otago, PO Box 56, Dunedin 9054, NEW ZEALAND</x:t>
  </x:si>
  <x:si>
    <x:t xml:space="preserve">Dr Johnny Malone-Leigh; Prof. Craig Rodger; Lisa Evans</x:t>
  </x:si>
  <x:si>
    <x:t xml:space="preserve">john.m.leigh@otago.ac.nz; craig.rodger@otago.ac.nz; lisa.evans@otago.ac.nz</x:t>
  </x:si>
  <x:si>
    <x:t xml:space="preserve">https://solartsunamis.otago.ac.nz/mana/mana-data/</x:t>
  </x:si>
  <x:si>
    <x:t xml:space="preserve">Formal scientific data access; Southern Hemisphere geomagnetic disturbance timelines.</x:t>
  </x:si>
  <x:si>
    <x:t xml:space="preserve">Earth Sciences New Zealand — Geomagnetism Project</x:t>
  </x:si>
  <x:si>
    <x:t xml:space="preserve">Persistent SDA / Environmental Degradation</x:t>
  </x:si>
  <x:si>
    <x:t xml:space="preserve">DDIL environmental proxy; bounded-response trigger data</x:t>
  </x:si>
  <x:si>
    <x:t xml:space="preserve">Avalon Campus, 1 Fairway Drive, Avalon 5011, PO Box 30-368, Lower Hutt 5040, NEW ZEALAND</x:t>
  </x:si>
  <x:si>
    <x:t xml:space="preserve">Dr Tanja Petersen</x:t>
  </x:si>
  <x:si>
    <x:t xml:space="preserve">https://www.gns.cri.nz/about-us/staff-search/tanja-petersen/</x:t>
  </x:si>
  <x:si>
    <x:t xml:space="preserve">INTERMAGNET / Scott Base context; independent validation. General phone: +64 4 570 1444.</x:t>
  </x:si>
  <x:si>
    <x:t xml:space="preserve">Tier 2 - Secondary</x:t>
  </x:si>
  <x:si>
    <x:t xml:space="preserve">Australia</x:t>
  </x:si>
  <x:si>
    <x:t xml:space="preserve">Australian Space Weather Forecasting Centre — Bureau of Meteorology</x:t>
  </x:si>
  <x:si>
    <x:t xml:space="preserve">DDIL / Communications Degradation</x:t>
  </x:si>
  <x:si>
    <x:t xml:space="preserve">Persistent SDA; bounded-response triggers; workload-event volume</x:t>
  </x:si>
  <x:si>
    <x:t xml:space="preserve">Australian Space Weather Forecasting Centre, Bureau of Meteorology, Lot Fourteen, Adelaide, SA 5000, AUSTRALIA</x:t>
  </x:si>
  <x:si>
    <x:t xml:space="preserve">Space Weather Forecaster</x:t>
  </x:si>
  <x:si>
    <x:t xml:space="preserve">ASWFC@bom.gov.au; space@bom.gov.au</x:t>
  </x:si>
  <x:si>
    <x:t xml:space="preserve">https://www.sws.bom.gov.au/Contact_Us</x:t>
  </x:si>
  <x:si>
    <x:t xml:space="preserve">Operational Southern Hemisphere space-weather and HF/ionosphere interpretation.</x:t>
  </x:si>
  <x:si>
    <x:t xml:space="preserve">United Kingdom</x:t>
  </x:si>
  <x:si>
    <x:t xml:space="preserve">Met Office — Space Weather Operations Centre (MOSWOC)</x:t>
  </x:si>
  <x:si>
    <x:t xml:space="preserve">Met Office, FitzRoy Road, Exeter, Devon EX1 3PB, UNITED KINGDOM</x:t>
  </x:si>
  <x:si>
    <x:t xml:space="preserve">Mark Gibbs / MOSWOC</x:t>
  </x:si>
  <x:si>
    <x:t xml:space="preserve">enquiries@metoffice.gov.uk</x:t>
  </x:si>
  <x:si>
    <x:t xml:space="preserve">https://weather.metoffice.gov.uk/learn-about/space-weather/met-office-role</x:t>
  </x:si>
  <x:si>
    <x:t xml:space="preserve">Independent operational flare/radio-blackout/geomagnetic interpretation.</x:t>
  </x:si>
  <x:si>
    <x:t xml:space="preserve">South Africa</x:t>
  </x:si>
  <x:si>
    <x:t xml:space="preserve">SANSA — Space Weather Centre</x:t>
  </x:si>
  <x:si>
    <x:t xml:space="preserve">SANSA Space Science, PO Box 32, Hermanus 7200, Western Cape, SOUTH AFRICA. Physical site: Hospital Street, Hermanus 7200.</x:t>
  </x:si>
  <x:si>
    <x:t xml:space="preserve">Space Weather Centre / SANSA Space Science</x:t>
  </x:si>
  <x:si>
    <x:t xml:space="preserve">spaceweather@sansa.org.za; spacesci-info@sansa.org.za</x:t>
  </x:si>
  <x:si>
    <x:t xml:space="preserve">https://www.sansa.org.za/products-and-services/space-science/</x:t>
  </x:si>
  <x:si>
    <x:t xml:space="preserve">African-region ionospheric/HF degradation and geographic diversity.</x:t>
  </x:si>
  <x:si>
    <x:t xml:space="preserve">Belgium</x:t>
  </x:si>
  <x:si>
    <x:t xml:space="preserve">ESA — Space Weather Service Network / Coordination Centre</x:t>
  </x:si>
  <x:si>
    <x:t xml:space="preserve">Persistent SDA / DDIL</x:t>
  </x:si>
  <x:si>
    <x:t xml:space="preserve">Bounded autonomous-response trigger data; workload-event volume</x:t>
  </x:si>
  <x:si>
    <x:t xml:space="preserve">Space Weather Coordination Centre, Space Pole, Avenue Circulaire–Ringlaan 3, 1180 Uccle–Ukkel, BELGIUM</x:t>
  </x:si>
  <x:si>
    <x:t xml:space="preserve">SWE Service Helpdesk</x:t>
  </x:si>
  <x:si>
    <x:t xml:space="preserve">helpdesk.swe@esa.int</x:t>
  </x:si>
  <x:si>
    <x:t xml:space="preserve">https://swe.ssa.esa.int/contact</x:t>
  </x:si>
  <x:si>
    <x:t xml:space="preserve">European product-selection, archive, API and V&amp;V support.</x:t>
  </x:si>
  <x:si>
    <x:t xml:space="preserve">Tier 3 - Supporting</x:t>
  </x:si>
  <x:si>
    <x:t xml:space="preserve">Germany</x:t>
  </x:si>
  <x:si>
    <x:t xml:space="preserve">EUMETSAT — User Service</x:t>
  </x:si>
  <x:si>
    <x:t xml:space="preserve">Persistent SDA / Ground-Station Availability</x:t>
  </x:si>
  <x:si>
    <x:t xml:space="preserve">DDIL atmospheric/ground-site proxy</x:t>
  </x:si>
  <x:si>
    <x:t xml:space="preserve">EUMETSAT, Eumetsat-Allee 1, D-64295 Darmstadt, GERMANY</x:t>
  </x:si>
  <x:si>
    <x:t xml:space="preserve">User Service Helpdesk</x:t>
  </x:si>
  <x:si>
    <x:t xml:space="preserve">ops@eumetsat.int</x:t>
  </x:si>
  <x:si>
    <x:t xml:space="preserve">https://www.eumetsat.int/contact-eumetsat</x:t>
  </x:si>
  <x:si>
    <x:t xml:space="preserve">Meteorology/precipitation/cloud inputs for notional ground-station availability.</x:t>
  </x:si>
  <x:si>
    <x:t xml:space="preserve">New Zealand Space Agency — MBIE</x:t>
  </x:si>
  <x:si>
    <x:t xml:space="preserve">Cross-Cutting Referral Source</x:t>
  </x:si>
  <x:si>
    <x:t xml:space="preserve">All five families by referral only</x:t>
  </x:si>
  <x:si>
    <x:t xml:space="preserve">New Zealand Space Agency, Ministry of Business, Innovation and Employment, PO Box 1473, Wellington 6140, NEW ZEALAND</x:t>
  </x:si>
  <x:si>
    <x:t xml:space="preserve">New Zealand Space Agency / MBIE</x:t>
  </x:si>
  <x:si>
    <x:t xml:space="preserve">nzspaceagency@mbie.govt.nz</x:t>
  </x:si>
  <x:si>
    <x:t xml:space="preserve">https://www.mbie.govt.nz/science-and-technology/space/connect-with-nzsa</x:t>
  </x:si>
  <x:si>
    <x:t xml:space="preserve">Referral/ecosystem source, not primary scientific data.</x:t>
  </x:si>
  <x:si>
    <x:t xml:space="preserve">ESA Space Debris Office — DISCOS / SDUP</x:t>
  </x:si>
  <x:si>
    <x:t xml:space="preserve">Bounded Autonomous Response / Maneuver Support</x:t>
  </x:si>
  <x:si>
    <x:t xml:space="preserve">Space Debris Office, ESOC/ESA, Robert-Bosch-Str. 5, 64293 Darmstadt, GERMANY</x:t>
  </x:si>
  <x:si>
    <x:t xml:space="preserve">Space Debris Office / SDUP Support</x:t>
  </x:si>
  <x:si>
    <x:t xml:space="preserve">space.debris.support@esa.int</x:t>
  </x:si>
  <x:si>
    <x:t xml:space="preserve">https://sdup.esoc.esa.int/contact</x:t>
  </x:si>
  <x:si>
    <x:t xml:space="preserve">Public conjunction/object metadata and event-trigger context.</x:t>
  </x:si>
  <x:si>
    <x:t xml:space="preserve">Request framing: seek public, scientifically defensible observations that reproduce system symptoms of degraded or contested operations (latency, outages, observation gaps, disturbance onset/recovery, alert volume, confidence/quality), not classified, adversary-specific, or operational combat data.</x:t>
  </x:si>
  <x:si>
    <x:t xml:space="preserve">Five Data Families — Public Evidence Needed for the Praxis</x:t>
  </x:si>
  <x:si>
    <x:t xml:space="preserve">USSF outcome areas translated into public, measurable variables suitable for academic requests and simulation inputs.</x:t>
  </x:si>
  <x:si>
    <x:t xml:space="preserve">Data Family / Outcome</x:t>
  </x:si>
  <x:si>
    <x:t xml:space="preserve">Public Data Wanted</x:t>
  </x:si>
  <x:si>
    <x:t xml:space="preserve">Useful Variables</x:t>
  </x:si>
  <x:si>
    <x:t xml:space="preserve">Primary International Targets</x:t>
  </x:si>
  <x:si>
    <x:t xml:space="preserve">Secondary / Supporting Targets</x:t>
  </x:si>
  <x:si>
    <x:t xml:space="preserve">Research Use</x:t>
  </x:si>
  <x:si>
    <x:t xml:space="preserve">1. Decision / Kill-Chain Latency</x:t>
  </x:si>
  <x:si>
    <x:t xml:space="preserve">Real communications and processing delays</x:t>
  </x:si>
  <x:si>
    <x:t xml:space="preserve">RTT; one-way delay; jitter; processing time; queue delay; handover latency; route-change latency; contact-window timing</x:t>
  </x:si>
  <x:si>
    <x:t xml:space="preserve">UVic LENS / PanLab; WetLinks; RIPE Atlas</x:t>
  </x:si>
  <x:si>
    <x:t xml:space="preserve">Baseline-vs-edge latency calibration, distributions, handover/outage timing, and model V&amp;V.</x:t>
  </x:si>
  <x:si>
    <x:t xml:space="preserve">2. Downlink Bottlenecks &amp; DDIL</x:t>
  </x:si>
  <x:si>
    <x:t xml:space="preserve">Degraded link and outage behavior</x:t>
  </x:si>
  <x:si>
    <x:t xml:space="preserve">Packet loss; throughput; bandwidth reduction; outage start/end; availability %; congestion; route changes; link recovery; SNR/link-margin proxies</x:t>
  </x:si>
  <x:si>
    <x:t xml:space="preserve">Build measured degraded-link scenarios and environmental degradation envelopes.</x:t>
  </x:si>
  <x:si>
    <x:t xml:space="preserve">3. Persistent SDA</x:t>
  </x:si>
  <x:si>
    <x:t xml:space="preserve">Conditions causing observation gaps or degraded sensing</x:t>
  </x:si>
  <x:si>
    <x:t xml:space="preserve">Access/revisit windows; track continuity; missed observations; solar angle; cloud/visibility; ionospheric disturbance; sensor quality/confidence</x:t>
  </x:si>
  <x:si>
    <x:t xml:space="preserve">NICT; Otago MANA; Earth Sciences NZ; Australia; MOSWOC; SANSA; ESA SWE</x:t>
  </x:si>
  <x:si>
    <x:t xml:space="preserve">EUMETSAT; ESA DISCOS; NZ Space Agency</x:t>
  </x:si>
  <x:si>
    <x:t xml:space="preserve">Parameterize observation degradation, continuity, timing, and independent environmental effects.</x:t>
  </x:si>
  <x:si>
    <x:t xml:space="preserve">4. Bounded Autonomous Response / Maneuver Support</x:t>
  </x:si>
  <x:si>
    <x:t xml:space="preserve">Timing and state-change data</x:t>
  </x:si>
  <x:si>
    <x:t xml:space="preserve">Event onset; detection time; classification confidence; anomaly/fault events; resource state; conjunction notifications; recovery time</x:t>
  </x:si>
  <x:si>
    <x:t xml:space="preserve">ESA DISCOS; NICT; ESA SWE</x:t>
  </x:si>
  <x:si>
    <x:t xml:space="preserve">Australia; MOSWOC; SANSA; UVic; RIPE Atlas</x:t>
  </x:si>
  <x:si>
    <x:t xml:space="preserve">Use public events as bounded-response triggers without requesting operational defensive-maneuver data.</x:t>
  </x:si>
  <x:si>
    <x:t xml:space="preserve">5. Operator Constraints &amp; Workload Triage</x:t>
  </x:si>
  <x:si>
    <x:t xml:space="preserve">Volume and prioritization of alerts/events</x:t>
  </x:si>
  <x:si>
    <x:t xml:space="preserve">Alert arrival rate; duplicate alerts; false positives; queue depth; event severity; acknowledgment time; confidence score; time-to-resolution</x:t>
  </x:si>
  <x:si>
    <x:t xml:space="preserve">No current source directly validates human workload</x:t>
  </x:si>
  <x:si>
    <x:t xml:space="preserve">NICT; Australia; MOSWOC; SANSA; ESA SWE; RIPE Atlas</x:t>
  </x:si>
  <x:si>
    <x:t xml:space="preserve">Use observed event traffic to parameterize workload demand; treat cognitive workload itself as a modeled proxy unless a human-factors dataset is added.</x:t>
  </x:si>
  <x:si>
    <x:t xml:space="preserve">International Data Source × Praxis Data Family Matrix</x:t>
  </x:si>
  <x:si>
    <x:t xml:space="preserve">3 = Primary target | 2 = Strong secondary | 1 = Supporting/referral | 0 = Not targeted. Higher score = stronger empirical fit.</x:t>
  </x:si>
  <x:si>
    <x:t xml:space="preserve">Entity</x:t>
  </x:si>
  <x:si>
    <x:t xml:space="preserve">1 Latency</x:t>
  </x:si>
  <x:si>
    <x:t xml:space="preserve">2 DDIL</x:t>
  </x:si>
  <x:si>
    <x:t xml:space="preserve">3 Persistent SDA</x:t>
  </x:si>
  <x:si>
    <x:t xml:space="preserve">4 Bounded Response</x:t>
  </x:si>
  <x:si>
    <x:t xml:space="preserve">5 Workload Triage</x:t>
  </x:si>
  <x:si>
    <x:t xml:space="preserve">Score</x:t>
  </x:si>
  <x:si>
    <x:t xml:space="preserve">NICT — WDC Ionosphere &amp; Space Weather</x:t>
  </x:si>
  <x:si>
    <x:t xml:space="preserve">Primary target</x:t>
  </x:si>
  <x:si>
    <x:t xml:space="preserve">UVic — LENS / Starlink@PanLab</x:t>
  </x:si>
  <x:si>
    <x:t xml:space="preserve">Strong secondary</x:t>
  </x:si>
  <x:si>
    <x:t xml:space="preserve">WetLinks — Osnabrück / Twente</x:t>
  </x:si>
  <x:si>
    <x:t xml:space="preserve">Supporting / referral</x:t>
  </x:si>
  <x:si>
    <x:t xml:space="preserve">Not targeted</x:t>
  </x:si>
  <x:si>
    <x:t xml:space="preserve">University of Otago — MANA</x:t>
  </x:si>
  <x:si>
    <x:t xml:space="preserve">Earth Sciences NZ — Geomagnetism</x:t>
  </x:si>
  <x:si>
    <x:t xml:space="preserve">Australian Space Weather Centre</x:t>
  </x:si>
  <x:si>
    <x:t xml:space="preserve">Met Office — MOSWOC</x:t>
  </x:si>
  <x:si>
    <x:t xml:space="preserve">ESA — Space Weather Service Network</x:t>
  </x:si>
</x:sst>
</file>

<file path=xl/styles.xml><?xml version="1.0" encoding="utf-8"?>
<x:styleSheet xmlns:x="http://schemas.openxmlformats.org/spreadsheetml/2006/main">
  <x:numFmts count="4">
    <x:numFmt numFmtId="164" formatCode="mmm\ d\,\ yyyy"/>
    <x:numFmt numFmtId="165" formatCode="yyyy\-mm\-dd"/>
    <x:numFmt numFmtId="200" formatCode="dd mmm yyyy"/>
    <x:numFmt numFmtId="201" formatCode="yyyy-mm-dd"/>
  </x:numFmts>
  <x:fonts count="1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i/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  <x:font>
      <x:i/>
      <x:sz val="10"/>
      <x:color rgb="FF1F1F1F"/>
      <x:name val="Carlito"/>
    </x:font>
    <x:font>
      <x:sz val="11"/>
      <x:name val="Calibri"/>
    </x:font>
    <x:font>
      <x:b/>
      <x:sz val="17"/>
      <x:color rgb="FFFFFFFF"/>
      <x:name val="Calibri"/>
    </x:font>
    <x:font>
      <x:b/>
      <x:sz val="11"/>
      <x:color rgb="FFFFFFFF"/>
      <x:name val="Calibri"/>
    </x:font>
    <x:font>
      <x:sz val="10"/>
      <x:color rgb="FF1F2937"/>
      <x:name val="Carlito"/>
    </x:font>
    <x:font>
      <x:b/>
      <x:sz val="12"/>
      <x:color rgb="FFFFFFFF"/>
      <x:name val="Carlito"/>
    </x:font>
  </x:fonts>
  <x:fills count="39">
    <x:fill>
      <x:patternFill patternType="none"/>
    </x:fill>
    <x:fill>
      <x:patternFill patternType="gray125"/>
    </x:fill>
    <x:fill>
      <x:patternFill patternType="solid">
        <x:fgColor rgb="FF0B2D5B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4213D"/>
      </x:patternFill>
    </x:fill>
    <x:fill>
      <x:patternFill patternType="solid">
        <x:fgColor rgb="FFE9EEF5"/>
      </x:patternFill>
    </x:fill>
    <x:fill>
      <x:patternFill patternType="solid">
        <x:fgColor rgb="FF0B2D5B"/>
      </x:patternFill>
    </x:fill>
    <x:fill>
      <x:patternFill patternType="solid">
        <x:fgColor rgb="FF17365D"/>
      </x:patternFill>
    </x:fill>
    <x:fill>
      <x:patternFill patternType="solid">
        <x:fgColor rgb="FF0B2D5B"/>
      </x:patternFill>
    </x:fill>
    <x:fill>
      <x:patternFill patternType="solid">
        <x:fgColor rgb="FFDCE6F1"/>
      </x:patternFill>
    </x:fill>
    <x:fill>
      <x:patternFill patternType="solid">
        <x:fgColor rgb="FFEEF3F8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AF2F8"/>
      </x:patternFill>
    </x:fill>
    <x:fill>
      <x:patternFill patternType="solid">
        <x:fgColor rgb="FFFCE9CC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  <x:fill>
      <x:patternFill patternType="solid">
        <x:fgColor rgb="FFEADCF8"/>
      </x:patternFill>
    </x:fill>
    <x:fill>
      <x:patternFill patternType="solid">
        <x:fgColor rgb="FFDCE6F1"/>
      </x:patternFill>
    </x:fill>
    <x:fill>
      <x:patternFill patternType="solid">
        <x:fgColor rgb="FF0B2D5B"/>
      </x:patternFill>
    </x:fill>
    <x:fill>
      <x:patternFill patternType="solid">
        <x:fgColor rgb="FF17365D"/>
      </x:patternFill>
    </x:fill>
    <x:fill>
      <x:patternFill patternType="solid">
        <x:fgColor rgb="FF183A5E"/>
      </x:patternFill>
    </x:fill>
    <x:fill>
      <x:patternFill patternType="solid">
        <x:fgColor rgb="FFDFEAF3"/>
      </x:patternFill>
    </x:fill>
    <x:fill>
      <x:patternFill patternType="solid">
        <x:fgColor rgb="FF24597F"/>
      </x:patternFill>
    </x:fill>
    <x:fill>
      <x:patternFill patternType="solid">
        <x:fgColor rgb="FFF3F5F7"/>
      </x:patternFill>
    </x:fill>
    <x:fill>
      <x:patternFill patternType="solid">
        <x:fgColor rgb="FFFFF1C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1F5F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0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0" fontId="4" fillId="5" borderId="0" xfId="0" applyFont="1" applyFill="1" applyAlignment="1">
      <x:alignment horizontal="center"/>
    </x:xf>
    <x:xf numFmtId="0" fontId="4" fillId="6" borderId="0" xfId="0" applyFont="1" applyFill="1" applyAlignment="1">
      <x:alignment horizontal="center"/>
    </x:xf>
    <x:xf numFmtId="0" fontId="4" fillId="7" borderId="0" xfId="0" applyFont="1" applyFill="1" applyAlignment="1">
      <x:alignment horizontal="center"/>
    </x:xf>
    <x:xf numFmtId="0" fontId="5" fillId="0" borderId="0" xfId="0" applyFont="1" applyAlignment="1">
      <x:alignment horizontal="center"/>
    </x:xf>
    <x:xf numFmtId="0" fontId="0" fillId="5" borderId="0" xfId="0" applyFill="1" applyAlignment="1">
      <x:alignment wrapText="1"/>
    </x:xf>
    <x:xf numFmtId="0" fontId="0" fillId="6" borderId="0" xfId="0" applyFill="1" applyAlignment="1">
      <x:alignment wrapText="1"/>
    </x:xf>
    <x:xf numFmtId="0" fontId="0" fillId="7" borderId="0" xfId="0" applyFill="1" applyAlignment="1">
      <x:alignment wrapText="1"/>
    </x:xf>
    <x:xf numFmtId="0" fontId="3" fillId="11" borderId="0" xfId="0" applyFont="1" applyFill="1" applyAlignment="1">
      <x:alignment horizontal="center" vertical="center" wrapText="1"/>
    </x:xf>
    <x:xf numFmtId="9" fontId="0" fillId="0" borderId="0" xfId="0" applyNumberFormat="1" applyAlignment="1">
      <x:alignment wrapText="1"/>
    </x:xf>
    <x:xf numFmtId="0" fontId="8" fillId="15" borderId="0" xfId="0" applyFont="1" applyFill="1"/>
    <x:xf numFmtId="0" fontId="8" fillId="15" borderId="0" xfId="0" applyFont="1" applyFill="1" applyAlignment="1">
      <x:alignment horizontal="center" vertical="center" wrapText="1"/>
    </x:xf>
    <x:xf numFmtId="0" fontId="9" fillId="0" borderId="0" xfId="0" applyFont="1" applyAlignment="1">
      <x:alignment vertical="top" wrapText="1"/>
    </x:xf>
    <x:xf numFmtId="0" fontId="9" fillId="16" borderId="0" xfId="0" applyFont="1" applyFill="1" applyAlignment="1">
      <x:alignment vertical="top" wrapText="1"/>
    </x:xf>
    <x:xf numFmtId="0" fontId="9" fillId="17" borderId="0" xfId="0" applyFont="1" applyFill="1" applyAlignment="1">
      <x:alignment vertical="top" wrapText="1"/>
    </x:xf>
    <x:xf numFmtId="0" fontId="9" fillId="18" borderId="0" xfId="0" applyFont="1" applyFill="1" applyAlignment="1">
      <x:alignment vertical="top" wrapText="1"/>
    </x:xf>
    <x:xf numFmtId="0" fontId="10" fillId="16" borderId="0" xfId="0" applyFont="1" applyFill="1" applyAlignment="1">
      <x:alignment vertical="top" wrapText="1"/>
    </x:xf>
    <x:xf numFmtId="0" fontId="10" fillId="19" borderId="0" xfId="0" applyFont="1" applyFill="1" applyAlignment="1">
      <x:alignment vertical="top" wrapText="1"/>
    </x:xf>
    <x:xf numFmtId="165" fontId="10" fillId="19" borderId="0" xfId="0" applyNumberFormat="1" applyFont="1" applyFill="1" applyAlignment="1">
      <x:alignment vertical="top" wrapText="1"/>
    </x:xf>
    <x:xf numFmtId="165" fontId="9" fillId="0" borderId="0" xfId="0" applyNumberFormat="1" applyFont="1" applyAlignment="1">
      <x:alignment vertical="top" wrapText="1"/>
    </x:xf>
    <x:xf numFmtId="165" fontId="0" fillId="0" borderId="0" xfId="0" applyNumberFormat="1"/>
    <x:xf numFmtId="0" fontId="10" fillId="20" borderId="0" xfId="0" applyFont="1" applyFill="1" applyAlignment="1">
      <x:alignment vertical="top" wrapText="1"/>
    </x:xf>
    <x:xf numFmtId="0" fontId="10" fillId="21" borderId="0" xfId="0" applyFont="1" applyFill="1" applyAlignment="1">
      <x:alignment vertical="top" wrapText="1"/>
    </x:xf>
    <x:xf numFmtId="0" fontId="10" fillId="22" borderId="0" xfId="0" applyFont="1" applyFill="1" applyAlignment="1">
      <x:alignment vertical="top" wrapText="1"/>
    </x:xf>
    <x:xf numFmtId="0" fontId="10" fillId="23" borderId="0" xfId="0" applyFont="1" applyFill="1" applyAlignment="1">
      <x:alignment vertical="top" wrapText="1"/>
    </x:xf>
    <x:xf numFmtId="0" fontId="9" fillId="0" borderId="0" xfId="0" applyFont="1" applyAlignment="1">
      <x:alignment vertical="center" wrapText="1"/>
    </x:xf>
    <x:xf numFmtId="0" fontId="7" fillId="16" borderId="0" xfId="0" applyFont="1" applyFill="1"/>
    <x:xf numFmtId="0" fontId="7" fillId="17" borderId="0" xfId="0" applyFont="1" applyFill="1"/>
    <x:xf numFmtId="0" fontId="7" fillId="22" borderId="0" xfId="0" applyFont="1" applyFill="1"/>
    <x:xf numFmtId="0" fontId="7" fillId="18" borderId="0" xfId="0" applyFont="1" applyFill="1"/>
    <x:xf numFmtId="0" fontId="4" fillId="24" borderId="0" xfId="0" applyFont="1" applyFill="1" applyAlignment="1">
      <x:alignment horizontal="center"/>
    </x:xf>
    <x:xf numFmtId="0" fontId="6" fillId="24" borderId="0" xfId="0" applyFont="1" applyFill="1" applyAlignment="1">
      <x:alignment wrapText="1"/>
    </x:xf>
    <x:xf numFmtId="0" fontId="1" fillId="25" borderId="0" xfId="0" applyFont="1" applyFill="1"/>
    <x:xf numFmtId="0" fontId="3" fillId="26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/>
    <x:xf numFmtId="0" fontId="1" fillId="8" borderId="0" xfId="0" applyFont="1" applyFill="1"/>
    <x:xf numFmtId="0" fontId="6" fillId="9" borderId="0" xfId="0" applyFont="1" applyFill="1"/>
    <x:xf numFmtId="0" fontId="1" fillId="2" borderId="0" xfId="0" applyFont="1" applyFill="1"/>
    <x:xf numFmtId="0" fontId="1" fillId="10" borderId="0" xfId="0" applyFont="1" applyFill="1" applyAlignment="1">
      <x:alignment wrapText="1"/>
    </x:xf>
    <x:xf numFmtId="0" fontId="6" fillId="24" borderId="0" xfId="0" applyFont="1" applyFill="1" applyAlignment="1">
      <x:alignment wrapText="1"/>
    </x:xf>
    <x:xf numFmtId="0" fontId="1" fillId="25" borderId="0" xfId="0" applyFont="1" applyFill="1"/>
    <x:xf numFmtId="0" fontId="1" fillId="12" borderId="0" xfId="0" applyFont="1" applyFill="1"/>
    <x:xf numFmtId="0" fontId="6" fillId="13" borderId="0" xfId="0" applyFont="1" applyFill="1" applyAlignment="1">
      <x:alignment wrapText="1"/>
    </x:xf>
    <x:xf numFmtId="0" fontId="7" fillId="14" borderId="0" xfId="0" applyFont="1" applyFill="1" applyAlignment="1">
      <x:alignment wrapText="1"/>
    </x:xf>
    <x:xf numFmtId="0" fontId="11" fillId="14" borderId="0" xfId="0" applyFont="1" applyFill="1" applyAlignment="1">
      <x:alignment vertical="center" wrapText="1"/>
    </x:xf>
    <x:xf numFmtId="165" fontId="11" fillId="14" borderId="0" xfId="0" applyNumberFormat="1" applyFont="1" applyFill="1" applyAlignment="1">
      <x:alignment vertical="center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9" fontId="0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9" fillId="18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19" borderId="1" xfId="0" applyNumberFormat="1" applyFont="1" applyFill="1" applyBorder="1" applyAlignment="1">
      <x:alignment vertical="top" wrapText="1"/>
    </x:xf>
    <x:xf numFmtId="165" fontId="10" fillId="19" borderId="1" xfId="0" applyNumberFormat="1" applyFont="1" applyFill="1" applyBorder="1" applyAlignment="1">
      <x:alignment vertical="top" wrapText="1"/>
    </x:xf>
    <x:xf numFmtId="165" fontId="9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/>
    <x:xf numFmtId="0" fontId="10" fillId="20" borderId="1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10" fillId="22" borderId="1" xfId="0" applyNumberFormat="1" applyFont="1" applyFill="1" applyBorder="1" applyAlignment="1">
      <x:alignment vertical="top" wrapText="1"/>
    </x:xf>
    <x:xf numFmtId="0" fontId="10" fillId="23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/>
    <x:xf numFmtId="0" fontId="7" fillId="6" borderId="1" xfId="0" applyNumberFormat="1" applyFont="1" applyFill="1" applyBorder="1"/>
    <x:xf numFmtId="0" fontId="7" fillId="22" borderId="1" xfId="0" applyNumberFormat="1" applyFont="1" applyFill="1" applyBorder="1"/>
    <x:xf numFmtId="0" fontId="7" fillId="18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/>
    <x:xf numFmtId="0" fontId="1" fillId="8" borderId="1" xfId="0" applyNumberFormat="1" applyFont="1" applyFill="1" applyBorder="1"/>
    <x:xf numFmtId="0" fontId="6" fillId="9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7" fillId="14" borderId="1" xfId="0" applyNumberFormat="1" applyFont="1" applyFill="1" applyBorder="1" applyAlignment="1">
      <x:alignment wrapText="1"/>
    </x:xf>
    <x:xf numFmtId="0" fontId="11" fillId="14" borderId="1" xfId="0" applyNumberFormat="1" applyFont="1" applyFill="1" applyBorder="1" applyAlignment="1">
      <x:alignment vertical="center" wrapText="1"/>
    </x:xf>
    <x:xf numFmtId="165" fontId="11" fillId="14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27" borderId="0" xfId="0" applyNumberFormat="1" applyFont="1" applyFill="1" applyBorder="1"/>
    <x:xf numFmtId="0" fontId="13" fillId="27" borderId="0" xfId="0" applyNumberFormat="1" applyFont="1" applyFill="1" applyBorder="1"/>
    <x:xf numFmtId="0" fontId="12" fillId="27" borderId="1" xfId="0" applyNumberFormat="1" applyFont="1" applyFill="1" applyBorder="1"/>
    <x:xf numFmtId="0" fontId="13" fillId="27" borderId="1" xfId="0" applyNumberFormat="1" applyFont="1" applyFill="1" applyBorder="1"/>
    <x:xf numFmtId="0" fontId="12" fillId="28" borderId="0" xfId="0" applyNumberFormat="1" applyFont="1" applyFill="1" applyBorder="1"/>
    <x:xf numFmtId="0" fontId="12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vertical="center" wrapText="1"/>
    </x:xf>
    <x:xf numFmtId="0" fontId="12" fillId="28" borderId="1" xfId="0" applyNumberFormat="1" applyFont="1" applyFill="1" applyBorder="1"/>
    <x:xf numFmtId="0" fontId="12" fillId="28" borderId="1" xfId="0" applyNumberFormat="1" applyFont="1" applyFill="1" applyBorder="1" applyAlignment="1">
      <x:alignment wrapText="1"/>
    </x:xf>
    <x:xf numFmtId="0" fontId="12" fillId="28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29" borderId="0" xfId="0" applyNumberFormat="1" applyFont="1" applyFill="1" applyBorder="1" applyAlignment="1">
      <x:alignment vertical="top" wrapText="1"/>
    </x:xf>
    <x:xf numFmtId="0" fontId="14" fillId="29" borderId="0" xfId="0" applyNumberFormat="1" applyFont="1" applyFill="1" applyBorder="1" applyAlignment="1">
      <x:alignment vertical="top" wrapText="1"/>
    </x:xf>
    <x:xf numFmtId="0" fontId="12" fillId="29" borderId="1" xfId="0" applyNumberFormat="1" applyFont="1" applyFill="1" applyBorder="1" applyAlignment="1">
      <x:alignment vertical="top" wrapText="1"/>
    </x:xf>
    <x:xf numFmtId="0" fontId="14" fillId="29" borderId="1" xfId="0" applyNumberFormat="1" applyFont="1" applyFill="1" applyBorder="1" applyAlignment="1">
      <x:alignment vertical="top" wrapText="1"/>
    </x:xf>
    <x:xf numFmtId="0" fontId="12" fillId="30" borderId="0" xfId="0" applyNumberFormat="1" applyFont="1" applyFill="1" applyBorder="1" applyAlignment="1">
      <x:alignment vertical="top" wrapText="1"/>
    </x:xf>
    <x:xf numFmtId="0" fontId="12" fillId="30" borderId="1" xfId="0" applyNumberFormat="1" applyFont="1" applyFill="1" applyBorder="1" applyAlignment="1">
      <x:alignment vertical="top" wrapText="1"/>
    </x:xf>
    <x:xf numFmtId="200" fontId="12" fillId="30" borderId="0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 applyAlignment="1">
      <x:alignment vertical="top" wrapText="1"/>
    </x:xf>
    <x:xf numFmtId="200" fontId="12" fillId="30" borderId="1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0" fillId="29" borderId="1" xfId="0" applyNumberFormat="1" applyFont="1" applyFill="1" applyBorder="1"/>
    <x:xf numFmtId="0" fontId="3" fillId="29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31" borderId="0" xfId="0" applyNumberFormat="1" applyFont="1" applyFill="1" applyBorder="1" applyAlignment="1">
      <x:alignment vertical="top" wrapText="1"/>
    </x:xf>
    <x:xf numFmtId="0" fontId="12" fillId="31" borderId="1" xfId="0" applyNumberFormat="1" applyFont="1" applyFill="1" applyBorder="1" applyAlignment="1">
      <x:alignment vertical="top" wrapText="1"/>
    </x:xf>
    <x:xf numFmtId="0" fontId="12" fillId="28" borderId="0" xfId="0" applyNumberFormat="1" applyFont="1" applyFill="1" applyBorder="1" applyAlignment="1">
      <x:alignment vertical="top" wrapText="1"/>
    </x:xf>
    <x:xf numFmtId="0" fontId="12" fillId="2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9" fontId="0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18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19" borderId="0" xfId="0" applyNumberFormat="1" applyFont="1" applyFill="1" applyBorder="1" applyAlignment="1">
      <x:alignment vertical="top" wrapText="1"/>
    </x:xf>
    <x:xf numFmtId="165" fontId="10" fillId="19" borderId="0" xfId="0" applyNumberFormat="1" applyFont="1" applyFill="1" applyBorder="1" applyAlignment="1">
      <x:alignment vertical="top" wrapText="1"/>
    </x:xf>
    <x:xf numFmtId="165" fontId="9" fillId="0" borderId="0" xfId="0" applyNumberFormat="1" applyFont="1" applyFill="1" applyBorder="1" applyAlignment="1">
      <x:alignment vertical="top" wrapText="1"/>
    </x:xf>
    <x:xf numFmtId="165" fontId="0" fillId="0" borderId="0" xfId="0" applyNumberFormat="1" applyFont="1" applyFill="1" applyBorder="1"/>
    <x:xf numFmtId="0" fontId="10" fillId="20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22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6" borderId="0" xfId="0" applyNumberFormat="1" applyFont="1" applyFill="1" applyBorder="1"/>
    <x:xf numFmtId="0" fontId="7" fillId="22" borderId="0" xfId="0" applyNumberFormat="1" applyFont="1" applyFill="1" applyBorder="1"/>
    <x:xf numFmtId="0" fontId="7" fillId="18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1" fillId="8" borderId="0" xfId="0" applyNumberFormat="1" applyFont="1" applyFill="1" applyBorder="1"/>
    <x:xf numFmtId="0" fontId="6" fillId="9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vertical="center" wrapText="1"/>
    </x:xf>
    <x:xf numFmtId="165" fontId="11" fillId="14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0" fillId="33" borderId="0" xfId="0" applyNumberFormat="1" applyFont="1" applyFill="1" applyBorder="1"/>
    <x:xf numFmtId="0" fontId="15" fillId="33" borderId="0" xfId="0" applyNumberFormat="1" applyFont="1" applyFill="1" applyBorder="1"/>
    <x:xf numFmtId="0" fontId="15" fillId="33" borderId="0" xfId="0" applyNumberFormat="1" applyFont="1" applyFill="1" applyBorder="1" applyAlignment="1">
      <x:alignment wrapText="1"/>
    </x:xf>
    <x:xf numFmtId="0" fontId="8" fillId="32" borderId="0" xfId="0" applyNumberFormat="1" applyFont="1" applyFill="1" applyBorder="1"/>
    <x:xf numFmtId="0" fontId="8" fillId="32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34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7" fillId="34" borderId="0" xfId="0" applyNumberFormat="1" applyFont="1" applyFill="1" applyBorder="1"/>
    <x:xf numFmtId="0" fontId="7" fillId="3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3" borderId="0" xfId="0" applyNumberFormat="1" applyFont="1" applyFill="1" applyBorder="1"/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6" fillId="36" borderId="0" xfId="0" applyNumberFormat="1" applyFont="1" applyFill="1" applyBorder="1"/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16" fillId="36" borderId="0" xfId="0" applyNumberFormat="1" applyFont="1" applyFill="1" applyBorder="1" applyAlignment="1">
      <x:alignment wrapText="1"/>
    </x:xf>
    <x:xf numFmtId="0" fontId="4" fillId="37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6" fillId="35" borderId="0" xfId="0" applyNumberFormat="1" applyFont="1" applyFill="1" applyBorder="1"/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16" fillId="35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6" fillId="38" borderId="0" xfId="0" applyNumberFormat="1" applyFont="1" applyFill="1" applyBorder="1"/>
    <x:xf numFmtId="0" fontId="4" fillId="0" borderId="0" xfId="0" applyNumberFormat="1" applyFont="1" applyFill="1" applyBorder="1"/>
    <x:xf numFmtId="0" fontId="16" fillId="38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1"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44062"/>
      </x:font>
      <x:fill>
        <x:patternFill>
          <x:bgColor rgb="FFA9D18E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1C9"/>
        </x:patternFill>
      </x:fill>
    </x:dxf>
    <x:dxf>
      <x:fill>
        <x:patternFill>
          <x:bgColor rgb="FFDFEAF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9E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60d80cf0844e2" /><Relationship Type="http://schemas.openxmlformats.org/officeDocument/2006/relationships/theme" Target="/xl/theme/theme1.xml" Id="R648ea28e235448f9" /><Relationship Type="http://schemas.openxmlformats.org/officeDocument/2006/relationships/sharedStrings" Target="/xl/sharedStrings.xml" Id="Rd5d632bf2e544c7a" /><Relationship Type="http://schemas.openxmlformats.org/officeDocument/2006/relationships/worksheet" Target="/xl/worksheets/sheet1.xml" Id="R49cfb410f6b24226" /><Relationship Type="http://schemas.openxmlformats.org/officeDocument/2006/relationships/worksheet" Target="/xl/worksheets/sheet2.xml" Id="Re10b9800cfdd4096" /><Relationship Type="http://schemas.openxmlformats.org/officeDocument/2006/relationships/worksheet" Target="/xl/worksheets/sheet3.xml" Id="Rdf331e71ddca4c59" /><Relationship Type="http://schemas.openxmlformats.org/officeDocument/2006/relationships/worksheet" Target="/xl/worksheets/sheet4.xml" Id="Re2e5b527b8924142" /><Relationship Type="http://schemas.openxmlformats.org/officeDocument/2006/relationships/worksheet" Target="/xl/worksheets/sheet5.xml" Id="R8e51bd7a3eda4600" /><Relationship Type="http://schemas.openxmlformats.org/officeDocument/2006/relationships/worksheet" Target="/xl/worksheets/sheet6.xml" Id="R18e0c2ae6e714ed9" /><Relationship Type="http://schemas.openxmlformats.org/officeDocument/2006/relationships/worksheet" Target="/xl/worksheets/sheet7.xml" Id="Rb8165884ba5a4168" /><Relationship Type="http://schemas.openxmlformats.org/officeDocument/2006/relationships/worksheet" Target="/xl/worksheets/sheet8.xml" Id="R36e43a0ef8f94020" /><Relationship Type="http://schemas.openxmlformats.org/officeDocument/2006/relationships/worksheet" Target="/xl/worksheets/sheet9.xml" Id="Re39797da20dc48bb" /><Relationship Type="http://schemas.openxmlformats.org/officeDocument/2006/relationships/worksheet" Target="/xl/worksheets/sheet10.xml" Id="R73d9ddf70eef40e8" /><Relationship Type="http://schemas.openxmlformats.org/officeDocument/2006/relationships/worksheet" Target="/xl/worksheets/sheet11.xml" Id="R83f1230bc3814229" /><Relationship Type="http://schemas.openxmlformats.org/officeDocument/2006/relationships/worksheet" Target="/xl/worksheets/sheet12.xml" Id="Rc3d8b3017d2f4cd2" /><Relationship Type="http://schemas.openxmlformats.org/officeDocument/2006/relationships/worksheet" Target="/xl/worksheets/sheet13.xml" Id="R86e973004c354fdb" /><Relationship Type="http://schemas.openxmlformats.org/officeDocument/2006/relationships/worksheet" Target="/xl/worksheets/sheet14.xml" Id="R1ed20a92ae3841cd" /><Relationship Type="http://schemas.openxmlformats.org/officeDocument/2006/relationships/worksheet" Target="/xl/worksheets/sheet15.xml" Id="R09fe386eb18f4720" /><Relationship Type="http://schemas.openxmlformats.org/officeDocument/2006/relationships/worksheet" Target="/xl/worksheets/sheet16.xml" Id="Rcc77c9c37cb84435" /><Relationship Type="http://schemas.openxmlformats.org/officeDocument/2006/relationships/worksheet" Target="/xl/worksheets/sheet17.xml" Id="Rb88527f3471b4207" /><Relationship Type="http://schemas.openxmlformats.org/officeDocument/2006/relationships/worksheet" Target="/xl/worksheets/sheet18.xml" Id="R4815a1aaffa74351" /></Relationships>
</file>

<file path=xl/tables/table1.xml><?xml version="1.0" encoding="utf-8"?>
<x:table xmlns:x="http://schemas.openxmlformats.org/spreadsheetml/2006/main" id="1" name="ResearchRegister" displayName="ResearchRegister" ref="A4:U35" totalsRowShown="0">
  <x:tableColumns count="21">
    <x:tableColumn id="1" name="Reading ID"/>
    <x:tableColumn id="2" name="Date Added"/>
    <x:tableColumn id="3" name="Author"/>
    <x:tableColumn id="4" name="Year"/>
    <x:tableColumn id="5" name="Title"/>
    <x:tableColumn id="6" name="Document Type"/>
    <x:tableColumn id="7" name="Institution"/>
    <x:tableColumn id="8" name="Method / Model"/>
    <x:tableColumn id="9" name="Primary Outputs / Metrics"/>
    <x:tableColumn id="10" name="AIS Layer / Tier Alignment"/>
    <x:tableColumn id="11" name="Method Fit (0-25)"/>
    <x:tableColumn id="12" name="Metric Fit (0-20)"/>
    <x:tableColumn id="13" name="Tool/Data/V&amp;V Fit (0-15)"/>
    <x:tableColumn id="14" name="Domain Fit (0-20)"/>
    <x:tableColumn id="15" name="Layer Fit (0-10)"/>
    <x:tableColumn id="16" name="Praxis Transfer (0-10)"/>
    <x:tableColumn id="17" name="Overall Score"/>
    <x:tableColumn id="18" name="Heat"/>
    <x:tableColumn id="19" name="Why Collected"/>
    <x:tableColumn id="20" name="Best Use in Praxis"/>
    <x:tableColumn id="21" name="Document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SCompanyRegister" displayName="AISCompanyRegister" ref="A4:H30" totalsRowShown="0">
  <x:tableColumns count="8">
    <x:tableColumn id="1" name="Layer / Tier"/>
    <x:tableColumn id="2" name="Layer Name"/>
    <x:tableColumn id="3" name="Layer Function"/>
    <x:tableColumn id="4" name="Company"/>
    <x:tableColumn id="5" name="Technology / Descriptor from Slide"/>
    <x:tableColumn id="6" name="Praxis Relevance"/>
    <x:tableColumn id="7" name="Heat"/>
    <x:tableColumn id="8" name="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HybridCrosswalkTable" displayName="HybridCrosswalkTable" ref="A4:O82" totalsRowShown="0">
  <x:tableColumns count="15">
    <x:tableColumn id="1" name="Company Rank"/>
    <x:tableColumn id="2" name="Layer"/>
    <x:tableColumn id="3" name="Company"/>
    <x:tableColumn id="4" name="Technology"/>
    <x:tableColumn id="5" name="Company Heat"/>
    <x:tableColumn id="6" name="Research Rank"/>
    <x:tableColumn id="7" name="Reading ID"/>
    <x:tableColumn id="8" name="Researcher"/>
    <x:tableColumn id="9" name="Method / Model"/>
    <x:tableColumn id="10" name="Research Base"/>
    <x:tableColumn id="11" name="Pair Affinity"/>
    <x:tableColumn id="12" name="Company Base"/>
    <x:tableColumn id="13" name="Hybrid Score"/>
    <x:tableColumn id="14" name="Hybrid Heat"/>
    <x:tableColumn id="15" name="Why This Pair Matt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lDataRequestsTable" displayName="IntlDataRequestsTable" ref="A5:N18" totalsRowShown="0">
  <x:tableColumns count="14">
    <x:tableColumn id="1" name="Priority"/>
    <x:tableColumn id="2" name="Tier"/>
    <x:tableColumn id="3" name="Country"/>
    <x:tableColumn id="4" name="Entity / Program"/>
    <x:tableColumn id="5" name="Main Data Bucket"/>
    <x:tableColumn id="6" name="Secondary Buckets"/>
    <x:tableColumn id="7" name="Mailing Address"/>
    <x:tableColumn id="8" name="POC / Office"/>
    <x:tableColumn id="9" name="Email"/>
    <x:tableColumn id="10" name="Website / Intake"/>
    <x:tableColumn id="11" name="Status"/>
    <x:tableColumn id="12" name="Date Sent"/>
    <x:tableColumn id="13" name="Response Date"/>
    <x:tableColumn id="1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FamiliesTable" displayName="DataFamiliesTable" ref="A4:F9" totalsRowShown="0">
  <x:tableColumns count="6">
    <x:tableColumn id="1" name="Data Family / Outcome"/>
    <x:tableColumn id="2" name="Public Data Wanted"/>
    <x:tableColumn id="3" name="Useful Variables"/>
    <x:tableColumn id="4" name="Primary International Targets"/>
    <x:tableColumn id="5" name="Secondary / Supporting Targets"/>
    <x:tableColumn id="6" name="Research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lBucketMatrixTable" displayName="IntlBucketMatrixTable" ref="A4:G17" totalsRowShown="0">
  <x:tableColumns count="7">
    <x:tableColumn id="1" name="Entity"/>
    <x:tableColumn id="2" name="Country"/>
    <x:tableColumn id="3" name="1 Latency"/>
    <x:tableColumn id="4" name="2 DDIL"/>
    <x:tableColumn id="5" name="3 Persistent SDA"/>
    <x:tableColumn id="6" name="4 Bounded Response"/>
    <x:tableColumn id="7" name="5 Workload Tri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creenshotReferencesTable" displayName="ScreenshotReferencesTable" ref="A5:I26" headerRowCount="1" totalsRowCount="0" totalsRowShown="0">
  <x:tableColumns count="9">
    <x:tableColumn id="1" name="ID"/>
    <x:tableColumn id="2" name="Source category"/>
    <x:tableColumn id="3" name="Entry exactly as supplied"/>
    <x:tableColumn id="4" name="Record type"/>
    <x:tableColumn id="5" name="Citation status"/>
    <x:tableColumn id="6" name="Check / next action"/>
    <x:tableColumn id="7" name="Verification link (where established)"/>
    <x:tableColumn id="8" name="Provenance"/>
    <x:tableColumn id="9" name="Add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ResearchArtifactsTable" displayName="ResearchArtifactsTable" ref="A5:H22" headerRowCount="1" totalsRowCount="0" totalsRowShown="0">
  <x:tableColumns count="8">
    <x:tableColumn id="1" name="ID"/>
    <x:tableColumn id="2" name="Type"/>
    <x:tableColumn id="3" name="Year"/>
    <x:tableColumn id="4" name="Citation / identifiable source"/>
    <x:tableColumn id="5" name="Stable URL / DOI"/>
    <x:tableColumn id="6" name="Evidence / citation readiness"/>
    <x:tableColumn id="7" name="Use and limits"/>
    <x:tableColumn id="8" name="Record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ReferenceGuideTable" displayName="ReferenceGuideTable" ref="A5:C13" headerRowCount="1" totalsRowCount="0" totalsRowShown="0">
  <x:tableColumns count="3">
    <x:tableColumn id="1" name="Area"/>
    <x:tableColumn id="2" name="Open / location"/>
    <x:tableColumn id="3" name="What it contain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UpdateLog15SepTable" displayName="UpdateLog15SepTable" ref="A5:D10" headerRowCount="1" totalsRowCount="0" totalsRowShown="0">
  <x:tableColumns count="4">
    <x:tableColumn id="1" name="Date"/>
    <x:tableColumn id="2" name="Area"/>
    <x:tableColumn id="3" name="Basis"/>
    <x:tableColumn id="4" name="Change / boundar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VerifiedAdditions13C" displayName="VerifiedAdditions13C" ref="A4:G17" headerRowCount="1" totalsRowCount="0" totalsRowShown="0">
  <x:tableColumns count="7">
    <x:tableColumn id="1" name="ID"/>
    <x:tableColumn id="2" name="Author / institution"/>
    <x:tableColumn id="3" name="Date / version"/>
    <x:tableColumn id="4" name="Title"/>
    <x:tableColumn id="5" name="Research role"/>
    <x:tableColumn id="6" name="Source locator"/>
    <x:tableColumn id="7" name="Verification boundar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URLAudit76C" displayName="URLAudit76C" ref="A4:E80" headerRowCount="1" totalsRowCount="0" totalsRowShown="0">
  <x:tableColumns count="5">
    <x:tableColumn id="1" name="URL"/>
    <x:tableColumn id="2" name="Record location"/>
    <x:tableColumn id="3" name="Access check"/>
    <x:tableColumn id="4" name="Check date"/>
    <x:tableColumn id="5" name="Evidence / limita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VerificationGuide14C" displayName="VerificationGuide14C" ref="A4:B18" headerRowCount="1" totalsRowCount="0" totalsRowShown="0">
  <x:tableColumns count="2">
    <x:tableColumn id="1" name="Item"/>
    <x:tableColumn id="2" name="Current 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eb8682b59049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c92b507d8449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37e5817e2b4c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9b57a93f14948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1e1e4a087254f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9577497550143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b228a01ba4c46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7f0761e1cb64a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c3b00d4eb7414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d7d4e27a25e44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d77eee9ee3f48c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eb36821f9a5d479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43c7115b77934e92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13" customWidth="1"/>
    <x:col min="3" max="3" width="20" customWidth="1"/>
    <x:col min="4" max="4" width="8" customWidth="1"/>
    <x:col min="5" max="5" width="40" customWidth="1"/>
    <x:col min="6" max="6" width="18" customWidth="1"/>
    <x:col min="7" max="7" width="24" customWidth="1"/>
    <x:col min="8" max="8" width="32" customWidth="1"/>
    <x:col min="9" max="10" width="30" customWidth="1"/>
    <x:col min="11" max="16" width="14" customWidth="1"/>
    <x:col min="17" max="17" width="12" customWidth="1"/>
    <x:col min="18" max="18" width="10" customWidth="1"/>
    <x:col min="19" max="19" width="38" customWidth="1"/>
    <x:col min="20" max="20" width="40" customWidth="1"/>
    <x:col min="21" max="21" width="34" customWidth="1"/>
  </x:cols>
  <x:sheetData>
    <x:row r="1" ht="17.850000381469727" customHeight="1">
      <x:c r="A1" s="37" t="s">
        <x:v>0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</x:row>
    <x:row r="2" ht="14.399999618530273">
      <x:c r="A2" s="38" t="str">
        <x:v>Original 31-source library/scoring retained. See Verification Guide, URL Audit and Verified Additions for 15 Sep NCEI and data-access checks. Reachable pages are not proof of dataset readiness.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</x:row>
    <x:row r="3" ht="15.600000381469727">
      <x:c r="A3" s="4" t="s">
        <x:v>1</x:v>
      </x:c>
      <x:c r="B3" s="7" t="n">
        <x:f>COUNTIF(R:R,"HOT")</x:f>
        <x:v>26</x:v>
      </x:c>
      <x:c r="C3" s="5" t="s">
        <x:v>2</x:v>
      </x:c>
      <x:c r="D3" s="7" t="n">
        <x:f>COUNTIF(R:R,"WARM")</x:f>
        <x:v>5</x:v>
      </x:c>
      <x:c r="E3" s="6" t="s">
        <x:v>3</x:v>
      </x:c>
      <x:c r="F3" s="7" t="n">
        <x:f>COUNTIF(R:R,"COLD")</x:f>
        <x:v>0</x:v>
      </x:c>
      <x:c r="H3" s="33" t="s">
        <x:v>4</x:v>
      </x:c>
      <x:c r="I3" s="7" t="n">
        <x:f>COUNTA(A5:A35)</x:f>
        <x:v>31</x:v>
      </x:c>
    </x:row>
    <x:row r="4" ht="27.600000381469727">
      <x:c r="A4" s="1" t="s">
        <x:v>5</x:v>
      </x:c>
      <x:c r="B4" s="1" t="s">
        <x:v>6</x:v>
      </x:c>
      <x:c r="C4" s="1" t="s">
        <x:v>7</x:v>
      </x:c>
      <x:c r="D4" s="1" t="s">
        <x:v>8</x:v>
      </x:c>
      <x:c r="E4" s="1" t="s">
        <x:v>9</x:v>
      </x:c>
      <x:c r="F4" s="1" t="s">
        <x:v>10</x:v>
      </x:c>
      <x:c r="G4" s="1" t="s">
        <x:v>11</x:v>
      </x:c>
      <x:c r="H4" s="1" t="s">
        <x:v>12</x:v>
      </x:c>
      <x:c r="I4" s="1" t="s">
        <x:v>13</x:v>
      </x:c>
      <x:c r="J4" s="1" t="s">
        <x:v>14</x:v>
      </x:c>
      <x:c r="K4" s="1" t="s">
        <x:v>15</x:v>
      </x:c>
      <x:c r="L4" s="1" t="s">
        <x:v>16</x:v>
      </x:c>
      <x:c r="M4" s="1" t="s">
        <x:v>17</x:v>
      </x:c>
      <x:c r="N4" s="1" t="s">
        <x:v>18</x:v>
      </x:c>
      <x:c r="O4" s="1" t="s">
        <x:v>19</x:v>
      </x:c>
      <x:c r="P4" s="1" t="s">
        <x:v>20</x:v>
      </x:c>
      <x:c r="Q4" s="1" t="s">
        <x:v>21</x:v>
      </x:c>
      <x:c r="R4" s="1" t="s">
        <x:v>22</x:v>
      </x:c>
      <x:c r="S4" s="1" t="s">
        <x:v>23</x:v>
      </x:c>
      <x:c r="T4" s="1" t="s">
        <x:v>24</x:v>
      </x:c>
      <x:c r="U4" s="1" t="s">
        <x:v>25</x:v>
      </x:c>
    </x:row>
    <x:row r="5" ht="55.20000076293945">
      <x:c r="A5" s="2" t="s">
        <x:v>26</x:v>
      </x:c>
      <x:c r="B5" s="3">
        <x:v>46239</x:v>
      </x:c>
      <x:c r="C5" s="2" t="s">
        <x:v>27</x:v>
      </x:c>
      <x:c r="D5" s="2">
        <x:v>2025</x:v>
      </x:c>
      <x:c r="E5" s="2" t="s">
        <x:v>28</x:v>
      </x:c>
      <x:c r="F5" s="2" t="s">
        <x:v>29</x:v>
      </x:c>
      <x:c r="G5" s="2" t="s">
        <x:v>30</x:v>
      </x:c>
      <x:c r="H5" s="2" t="s">
        <x:v>31</x:v>
      </x:c>
      <x:c r="I5" s="2" t="s">
        <x:v>32</x:v>
      </x:c>
      <x:c r="J5" s="2" t="s">
        <x:v>33</x:v>
      </x:c>
      <x:c r="K5" s="2">
        <x:v>25</x:v>
      </x:c>
      <x:c r="L5" s="2">
        <x:v>12</x:v>
      </x:c>
      <x:c r="M5" s="2">
        <x:v>8</x:v>
      </x:c>
      <x:c r="N5" s="2">
        <x:v>2</x:v>
      </x:c>
      <x:c r="O5" s="2">
        <x:v>6</x:v>
      </x:c>
      <x:c r="P5" s="2">
        <x:v>10</x:v>
      </x:c>
      <x:c r="Q5" s="2" t="n">
        <x:f t="shared" ref="Q5:Q13" si="0">SUM(K5:P5)</x:f>
        <x:v>63</x:v>
      </x:c>
      <x:c r="R5" s="2" t="str">
        <x:f t="shared" ref="R5:R13" si="1">IF(Q5&gt;=75,"HOT",IF(Q5&gt;=50,"WARM","COLD"))</x:f>
        <x:v>WARM</x:v>
      </x:c>
      <x:c r="S5" s="2" t="s">
        <x:v>34</x:v>
      </x:c>
      <x:c r="T5" s="2" t="s">
        <x:v>35</x:v>
      </x:c>
      <x:c r="U5" s="2" t="s">
        <x:v>36</x:v>
      </x:c>
    </x:row>
    <x:row r="6" ht="41.400001525878906">
      <x:c r="A6" s="2" t="s">
        <x:v>37</x:v>
      </x:c>
      <x:c r="B6" s="3">
        <x:v>46240</x:v>
      </x:c>
      <x:c r="C6" s="2" t="s">
        <x:v>38</x:v>
      </x:c>
      <x:c r="D6" s="2">
        <x:v>2022</x:v>
      </x:c>
      <x:c r="E6" s="2" t="s">
        <x:v>39</x:v>
      </x:c>
      <x:c r="F6" s="2" t="s">
        <x:v>29</x:v>
      </x:c>
      <x:c r="G6" s="2" t="s">
        <x:v>30</x:v>
      </x:c>
      <x:c r="H6" s="2" t="s">
        <x:v>40</x:v>
      </x:c>
      <x:c r="I6" s="2" t="s">
        <x:v>41</x:v>
      </x:c>
      <x:c r="J6" s="2" t="s">
        <x:v>42</x:v>
      </x:c>
      <x:c r="K6" s="2">
        <x:v>20</x:v>
      </x:c>
      <x:c r="L6" s="2">
        <x:v>5</x:v>
      </x:c>
      <x:c r="M6" s="2">
        <x:v>15</x:v>
      </x:c>
      <x:c r="N6" s="2">
        <x:v>20</x:v>
      </x:c>
      <x:c r="O6" s="2">
        <x:v>8</x:v>
      </x:c>
      <x:c r="P6" s="2">
        <x:v>7</x:v>
      </x:c>
      <x:c r="Q6" s="2">
        <x:f t="shared" si="0"/>
        <x:v>75</x:v>
      </x:c>
      <x:c r="R6" s="2" t="str">
        <x:f t="shared" si="1"/>
        <x:v>HOT</x:v>
      </x:c>
      <x:c r="S6" s="2" t="s">
        <x:v>43</x:v>
      </x:c>
      <x:c r="T6" s="2" t="s">
        <x:v>44</x:v>
      </x:c>
      <x:c r="U6" s="2" t="s">
        <x:v>45</x:v>
      </x:c>
    </x:row>
    <x:row r="7" ht="41.400001525878906">
      <x:c r="A7" s="2" t="s">
        <x:v>46</x:v>
      </x:c>
      <x:c r="B7" s="3">
        <x:v>46241</x:v>
      </x:c>
      <x:c r="C7" s="2" t="s">
        <x:v>47</x:v>
      </x:c>
      <x:c r="D7" s="2">
        <x:v>2022</x:v>
      </x:c>
      <x:c r="E7" s="2" t="s">
        <x:v>48</x:v>
      </x:c>
      <x:c r="F7" s="2" t="s">
        <x:v>29</x:v>
      </x:c>
      <x:c r="G7" s="2" t="s">
        <x:v>30</x:v>
      </x:c>
      <x:c r="H7" s="2" t="s">
        <x:v>49</x:v>
      </x:c>
      <x:c r="I7" s="2" t="s">
        <x:v>50</x:v>
      </x:c>
      <x:c r="J7" s="2" t="s">
        <x:v>51</x:v>
      </x:c>
      <x:c r="K7" s="2">
        <x:v>20</x:v>
      </x:c>
      <x:c r="L7" s="2">
        <x:v>13</x:v>
      </x:c>
      <x:c r="M7" s="2">
        <x:v>10</x:v>
      </x:c>
      <x:c r="N7" s="2">
        <x:v>6</x:v>
      </x:c>
      <x:c r="O7" s="2">
        <x:v>8</x:v>
      </x:c>
      <x:c r="P7" s="2">
        <x:v>8</x:v>
      </x:c>
      <x:c r="Q7" s="2">
        <x:f t="shared" si="0"/>
        <x:v>65</x:v>
      </x:c>
      <x:c r="R7" s="2" t="str">
        <x:f t="shared" si="1"/>
        <x:v>WARM</x:v>
      </x:c>
      <x:c r="S7" s="2" t="s">
        <x:v>52</x:v>
      </x:c>
      <x:c r="T7" s="2" t="s">
        <x:v>53</x:v>
      </x:c>
      <x:c r="U7" s="2" t="s">
        <x:v>54</x:v>
      </x:c>
    </x:row>
    <x:row r="8" ht="41.400001525878906">
      <x:c r="A8" s="2" t="s">
        <x:v>55</x:v>
      </x:c>
      <x:c r="B8" s="3">
        <x:v>46242</x:v>
      </x:c>
      <x:c r="C8" s="2" t="s">
        <x:v>56</x:v>
      </x:c>
      <x:c r="D8" s="2">
        <x:v>2025</x:v>
      </x:c>
      <x:c r="E8" s="2" t="s">
        <x:v>57</x:v>
      </x:c>
      <x:c r="F8" s="2" t="s">
        <x:v>29</x:v>
      </x:c>
      <x:c r="G8" s="2" t="s">
        <x:v>30</x:v>
      </x:c>
      <x:c r="H8" s="2" t="s">
        <x:v>58</x:v>
      </x:c>
      <x:c r="I8" s="2" t="s">
        <x:v>59</x:v>
      </x:c>
      <x:c r="J8" s="2" t="s">
        <x:v>60</x:v>
      </x:c>
      <x:c r="K8" s="2">
        <x:v>20</x:v>
      </x:c>
      <x:c r="L8" s="2">
        <x:v>20</x:v>
      </x:c>
      <x:c r="M8" s="2">
        <x:v>10</x:v>
      </x:c>
      <x:c r="N8" s="2">
        <x:v>20</x:v>
      </x:c>
      <x:c r="O8" s="2">
        <x:v>10</x:v>
      </x:c>
      <x:c r="P8" s="2">
        <x:v>10</x:v>
      </x:c>
      <x:c r="Q8" s="2">
        <x:f t="shared" si="0"/>
        <x:v>90</x:v>
      </x:c>
      <x:c r="R8" s="2" t="str">
        <x:f t="shared" si="1"/>
        <x:v>HOT</x:v>
      </x:c>
      <x:c r="S8" s="2" t="s">
        <x:v>61</x:v>
      </x:c>
      <x:c r="T8" s="2" t="s">
        <x:v>62</x:v>
      </x:c>
      <x:c r="U8" s="2" t="s">
        <x:v>63</x:v>
      </x:c>
    </x:row>
    <x:row r="9" ht="82.80000305175781">
      <x:c r="A9" s="2" t="s">
        <x:v>64</x:v>
      </x:c>
      <x:c r="B9" s="3">
        <x:v>46243</x:v>
      </x:c>
      <x:c r="C9" s="2" t="s">
        <x:v>65</x:v>
      </x:c>
      <x:c r="D9" s="2">
        <x:v>2024</x:v>
      </x:c>
      <x:c r="E9" s="2" t="s">
        <x:v>66</x:v>
      </x:c>
      <x:c r="F9" s="2" t="s">
        <x:v>29</x:v>
      </x:c>
      <x:c r="G9" s="2" t="s">
        <x:v>30</x:v>
      </x:c>
      <x:c r="H9" s="2" t="s">
        <x:v>67</x:v>
      </x:c>
      <x:c r="I9" s="2" t="s">
        <x:v>68</x:v>
      </x:c>
      <x:c r="J9" s="2" t="s">
        <x:v>69</x:v>
      </x:c>
      <x:c r="K9" s="2">
        <x:v>25</x:v>
      </x:c>
      <x:c r="L9" s="2">
        <x:v>20</x:v>
      </x:c>
      <x:c r="M9" s="2">
        <x:v>15</x:v>
      </x:c>
      <x:c r="N9" s="2">
        <x:v>4</x:v>
      </x:c>
      <x:c r="O9" s="2">
        <x:v>10</x:v>
      </x:c>
      <x:c r="P9" s="2">
        <x:v>10</x:v>
      </x:c>
      <x:c r="Q9" s="2">
        <x:f t="shared" si="0"/>
        <x:v>84</x:v>
      </x:c>
      <x:c r="R9" s="2" t="str">
        <x:f t="shared" si="1"/>
        <x:v>HOT</x:v>
      </x:c>
      <x:c r="S9" s="2" t="s">
        <x:v>70</x:v>
      </x:c>
      <x:c r="T9" s="2" t="s">
        <x:v>71</x:v>
      </x:c>
      <x:c r="U9" s="2" t="s">
        <x:v>72</x:v>
      </x:c>
    </x:row>
    <x:row r="10" ht="41.400001525878906">
      <x:c r="A10" s="2" t="s">
        <x:v>73</x:v>
      </x:c>
      <x:c r="B10" s="3">
        <x:v>46244</x:v>
      </x:c>
      <x:c r="C10" s="2" t="s">
        <x:v>74</x:v>
      </x:c>
      <x:c r="D10" s="2">
        <x:v>2017</x:v>
      </x:c>
      <x:c r="E10" s="2" t="s">
        <x:v>75</x:v>
      </x:c>
      <x:c r="F10" s="2" t="s">
        <x:v>29</x:v>
      </x:c>
      <x:c r="G10" s="2" t="s">
        <x:v>30</x:v>
      </x:c>
      <x:c r="H10" s="2" t="s">
        <x:v>76</x:v>
      </x:c>
      <x:c r="I10" s="2" t="s">
        <x:v>77</x:v>
      </x:c>
      <x:c r="J10" s="2" t="s">
        <x:v>78</x:v>
      </x:c>
      <x:c r="K10" s="2">
        <x:v>25</x:v>
      </x:c>
      <x:c r="L10" s="2">
        <x:v>15</x:v>
      </x:c>
      <x:c r="M10" s="2">
        <x:v>15</x:v>
      </x:c>
      <x:c r="N10" s="2">
        <x:v>10</x:v>
      </x:c>
      <x:c r="O10" s="2">
        <x:v>8</x:v>
      </x:c>
      <x:c r="P10" s="2">
        <x:v>10</x:v>
      </x:c>
      <x:c r="Q10" s="2">
        <x:f t="shared" si="0"/>
        <x:v>83</x:v>
      </x:c>
      <x:c r="R10" s="2" t="str">
        <x:f t="shared" si="1"/>
        <x:v>HOT</x:v>
      </x:c>
      <x:c r="S10" s="2" t="s">
        <x:v>79</x:v>
      </x:c>
      <x:c r="T10" s="2" t="s">
        <x:v>80</x:v>
      </x:c>
      <x:c r="U10" s="2" t="s">
        <x:v>81</x:v>
      </x:c>
    </x:row>
    <x:row r="11" ht="41.400001525878906">
      <x:c r="A11" s="2" t="s">
        <x:v>82</x:v>
      </x:c>
      <x:c r="B11" s="3">
        <x:v>46245</x:v>
      </x:c>
      <x:c r="C11" s="2" t="s">
        <x:v>83</x:v>
      </x:c>
      <x:c r="D11" s="2">
        <x:v>2018</x:v>
      </x:c>
      <x:c r="E11" s="2" t="s">
        <x:v>84</x:v>
      </x:c>
      <x:c r="F11" s="2" t="s">
        <x:v>29</x:v>
      </x:c>
      <x:c r="G11" s="2" t="s">
        <x:v>30</x:v>
      </x:c>
      <x:c r="H11" s="2" t="s">
        <x:v>85</x:v>
      </x:c>
      <x:c r="I11" s="2" t="s">
        <x:v>86</x:v>
      </x:c>
      <x:c r="J11" s="2" t="s">
        <x:v>87</x:v>
      </x:c>
      <x:c r="K11" s="2">
        <x:v>20</x:v>
      </x:c>
      <x:c r="L11" s="2">
        <x:v>20</x:v>
      </x:c>
      <x:c r="M11" s="2">
        <x:v>10</x:v>
      </x:c>
      <x:c r="N11" s="2">
        <x:v>10</x:v>
      </x:c>
      <x:c r="O11" s="2">
        <x:v>7</x:v>
      </x:c>
      <x:c r="P11" s="2">
        <x:v>10</x:v>
      </x:c>
      <x:c r="Q11" s="2">
        <x:f t="shared" si="0"/>
        <x:v>77</x:v>
      </x:c>
      <x:c r="R11" s="2" t="str">
        <x:f t="shared" si="1"/>
        <x:v>HOT</x:v>
      </x:c>
      <x:c r="S11" s="2" t="s">
        <x:v>88</x:v>
      </x:c>
      <x:c r="T11" s="2" t="s">
        <x:v>89</x:v>
      </x:c>
      <x:c r="U11" s="2" t="s">
        <x:v>90</x:v>
      </x:c>
    </x:row>
    <x:row r="12" ht="41.400001525878906">
      <x:c r="A12" s="2" t="s">
        <x:v>91</x:v>
      </x:c>
      <x:c r="B12" s="3">
        <x:v>46246</x:v>
      </x:c>
      <x:c r="C12" s="2" t="s">
        <x:v>92</x:v>
      </x:c>
      <x:c r="D12" s="2">
        <x:v>2023</x:v>
      </x:c>
      <x:c r="E12" s="2" t="s">
        <x:v>93</x:v>
      </x:c>
      <x:c r="F12" s="2" t="s">
        <x:v>29</x:v>
      </x:c>
      <x:c r="G12" s="2" t="s">
        <x:v>30</x:v>
      </x:c>
      <x:c r="H12" s="2" t="s">
        <x:v>94</x:v>
      </x:c>
      <x:c r="I12" s="2" t="s">
        <x:v>95</x:v>
      </x:c>
      <x:c r="J12" s="2" t="s">
        <x:v>96</x:v>
      </x:c>
      <x:c r="K12" s="2">
        <x:v>20</x:v>
      </x:c>
      <x:c r="L12" s="2">
        <x:v>10</x:v>
      </x:c>
      <x:c r="M12" s="2">
        <x:v>12</x:v>
      </x:c>
      <x:c r="N12" s="2">
        <x:v>8</x:v>
      </x:c>
      <x:c r="O12" s="2">
        <x:v>7</x:v>
      </x:c>
      <x:c r="P12" s="2">
        <x:v>10</x:v>
      </x:c>
      <x:c r="Q12" s="2">
        <x:f t="shared" si="0"/>
        <x:v>67</x:v>
      </x:c>
      <x:c r="R12" s="2" t="str">
        <x:f t="shared" si="1"/>
        <x:v>WARM</x:v>
      </x:c>
      <x:c r="S12" s="2" t="s">
        <x:v>97</x:v>
      </x:c>
      <x:c r="T12" s="2" t="s">
        <x:v>98</x:v>
      </x:c>
      <x:c r="U12" s="2" t="s">
        <x:v>99</x:v>
      </x:c>
    </x:row>
    <x:row r="13" ht="41.400001525878906">
      <x:c r="A13" s="2" t="s">
        <x:v>100</x:v>
      </x:c>
      <x:c r="B13" s="3">
        <x:v>46247</x:v>
      </x:c>
      <x:c r="C13" s="2" t="s">
        <x:v>101</x:v>
      </x:c>
      <x:c r="D13" s="2">
        <x:v>2018</x:v>
      </x:c>
      <x:c r="E13" s="2" t="s">
        <x:v>102</x:v>
      </x:c>
      <x:c r="F13" s="2" t="s">
        <x:v>29</x:v>
      </x:c>
      <x:c r="G13" s="2" t="s">
        <x:v>30</x:v>
      </x:c>
      <x:c r="H13" s="2" t="s">
        <x:v>103</x:v>
      </x:c>
      <x:c r="I13" s="2" t="s">
        <x:v>104</x:v>
      </x:c>
      <x:c r="J13" s="2" t="s">
        <x:v>105</x:v>
      </x:c>
      <x:c r="K13" s="2">
        <x:v>25</x:v>
      </x:c>
      <x:c r="L13" s="2">
        <x:v>17</x:v>
      </x:c>
      <x:c r="M13" s="2">
        <x:v>15</x:v>
      </x:c>
      <x:c r="N13" s="2">
        <x:v>20</x:v>
      </x:c>
      <x:c r="O13" s="2">
        <x:v>7</x:v>
      </x:c>
      <x:c r="P13" s="2">
        <x:v>10</x:v>
      </x:c>
      <x:c r="Q13" s="2">
        <x:f t="shared" si="0"/>
        <x:v>94</x:v>
      </x:c>
      <x:c r="R13" s="2" t="str">
        <x:f t="shared" si="1"/>
        <x:v>HOT</x:v>
      </x:c>
      <x:c r="S13" s="2" t="s">
        <x:v>106</x:v>
      </x:c>
      <x:c r="T13" s="2" t="s">
        <x:v>107</x:v>
      </x:c>
      <x:c r="U13" s="2" t="s">
        <x:v>108</x:v>
      </x:c>
    </x:row>
    <x:row r="14" ht="41.400001525878906">
      <x:c r="A14" s="2" t="s">
        <x:v>109</x:v>
      </x:c>
      <x:c r="B14" s="3">
        <x:v>46248</x:v>
      </x:c>
      <x:c r="C14" s="2" t="s">
        <x:v>110</x:v>
      </x:c>
      <x:c r="D14" s="2">
        <x:v>2019</x:v>
      </x:c>
      <x:c r="E14" s="2" t="s">
        <x:v>111</x:v>
      </x:c>
      <x:c r="F14" s="2" t="s">
        <x:v>29</x:v>
      </x:c>
      <x:c r="G14" s="2" t="s">
        <x:v>30</x:v>
      </x:c>
      <x:c r="H14" s="2" t="s">
        <x:v>112</x:v>
      </x:c>
      <x:c r="I14" s="2" t="s">
        <x:v>113</x:v>
      </x:c>
      <x:c r="J14" s="2" t="s">
        <x:v>114</x:v>
      </x:c>
      <x:c r="K14" s="2">
        <x:v>23</x:v>
      </x:c>
      <x:c r="L14" s="2">
        <x:v>20</x:v>
      </x:c>
      <x:c r="M14" s="2">
        <x:v>12</x:v>
      </x:c>
      <x:c r="N14" s="2">
        <x:v>14</x:v>
      </x:c>
      <x:c r="O14" s="2">
        <x:v>10</x:v>
      </x:c>
      <x:c r="P14" s="2">
        <x:v>10</x:v>
      </x:c>
      <x:c r="Q14" s="2" t="n">
        <x:f t="shared" ref="Q14:Q35" si="2">SUM(K14:P14)</x:f>
        <x:v>89</x:v>
      </x:c>
      <x:c r="R14" s="2" t="str">
        <x:f t="shared" ref="R14:R35" si="3">IF(Q14&gt;=75,"HOT",IF(Q14&gt;=50,"WARM","COLD"))</x:f>
        <x:v>HOT</x:v>
      </x:c>
      <x:c r="S14" s="2" t="s">
        <x:v>115</x:v>
      </x:c>
      <x:c r="T14" s="2" t="s">
        <x:v>116</x:v>
      </x:c>
      <x:c r="U14" s="2" t="s">
        <x:v>117</x:v>
      </x:c>
    </x:row>
    <x:row r="15" ht="41.400001525878906">
      <x:c r="A15" s="2" t="s">
        <x:v>118</x:v>
      </x:c>
      <x:c r="B15" s="3">
        <x:v>46249</x:v>
      </x:c>
      <x:c r="C15" s="2" t="s">
        <x:v>119</x:v>
      </x:c>
      <x:c r="D15" s="2">
        <x:v>2022</x:v>
      </x:c>
      <x:c r="E15" s="2" t="s">
        <x:v>120</x:v>
      </x:c>
      <x:c r="F15" s="2" t="s">
        <x:v>29</x:v>
      </x:c>
      <x:c r="G15" s="2" t="s">
        <x:v>30</x:v>
      </x:c>
      <x:c r="H15" s="2" t="s">
        <x:v>121</x:v>
      </x:c>
      <x:c r="I15" s="2" t="s">
        <x:v>122</x:v>
      </x:c>
      <x:c r="J15" s="2" t="s">
        <x:v>123</x:v>
      </x:c>
      <x:c r="K15" s="2">
        <x:v>23</x:v>
      </x:c>
      <x:c r="L15" s="2">
        <x:v>20</x:v>
      </x:c>
      <x:c r="M15" s="2">
        <x:v>14</x:v>
      </x:c>
      <x:c r="N15" s="2">
        <x:v>14</x:v>
      </x:c>
      <x:c r="O15" s="2">
        <x:v>9</x:v>
      </x:c>
      <x:c r="P15" s="2">
        <x:v>10</x:v>
      </x:c>
      <x:c r="Q15" s="2">
        <x:f t="shared" si="2"/>
        <x:v>90</x:v>
      </x:c>
      <x:c r="R15" s="2" t="str">
        <x:f t="shared" si="3"/>
        <x:v>HOT</x:v>
      </x:c>
      <x:c r="S15" s="2" t="s">
        <x:v>124</x:v>
      </x:c>
      <x:c r="T15" s="2" t="s">
        <x:v>125</x:v>
      </x:c>
      <x:c r="U15" s="2" t="s">
        <x:v>126</x:v>
      </x:c>
    </x:row>
    <x:row r="16" ht="41.400001525878906">
      <x:c r="A16" s="2" t="s">
        <x:v>127</x:v>
      </x:c>
      <x:c r="B16" s="3">
        <x:v>46250</x:v>
      </x:c>
      <x:c r="C16" s="2" t="s">
        <x:v>128</x:v>
      </x:c>
      <x:c r="D16" s="2">
        <x:v>2024</x:v>
      </x:c>
      <x:c r="E16" s="2" t="s">
        <x:v>129</x:v>
      </x:c>
      <x:c r="F16" s="2" t="s">
        <x:v>29</x:v>
      </x:c>
      <x:c r="G16" s="2" t="s">
        <x:v>30</x:v>
      </x:c>
      <x:c r="H16" s="2" t="s">
        <x:v>130</x:v>
      </x:c>
      <x:c r="I16" s="2" t="s">
        <x:v>131</x:v>
      </x:c>
      <x:c r="J16" s="2" t="s">
        <x:v>132</x:v>
      </x:c>
      <x:c r="K16" s="2">
        <x:v>18</x:v>
      </x:c>
      <x:c r="L16" s="2">
        <x:v>12</x:v>
      </x:c>
      <x:c r="M16" s="2">
        <x:v>15</x:v>
      </x:c>
      <x:c r="N16" s="2">
        <x:v>17</x:v>
      </x:c>
      <x:c r="O16" s="2">
        <x:v>10</x:v>
      </x:c>
      <x:c r="P16" s="2">
        <x:v>10</x:v>
      </x:c>
      <x:c r="Q16" s="2">
        <x:f t="shared" si="2"/>
        <x:v>82</x:v>
      </x:c>
      <x:c r="R16" s="2" t="str">
        <x:f t="shared" si="3"/>
        <x:v>HOT</x:v>
      </x:c>
      <x:c r="S16" s="2" t="s">
        <x:v>133</x:v>
      </x:c>
      <x:c r="T16" s="2" t="s">
        <x:v>134</x:v>
      </x:c>
      <x:c r="U16" s="2" t="s">
        <x:v>135</x:v>
      </x:c>
    </x:row>
    <x:row r="17" ht="41.400001525878906">
      <x:c r="A17" s="2" t="s">
        <x:v>136</x:v>
      </x:c>
      <x:c r="B17" s="3">
        <x:v>46251</x:v>
      </x:c>
      <x:c r="C17" s="2" t="s">
        <x:v>137</x:v>
      </x:c>
      <x:c r="D17" s="2">
        <x:v>2021</x:v>
      </x:c>
      <x:c r="E17" s="2" t="s">
        <x:v>138</x:v>
      </x:c>
      <x:c r="F17" s="2" t="s">
        <x:v>29</x:v>
      </x:c>
      <x:c r="G17" s="2" t="s">
        <x:v>30</x:v>
      </x:c>
      <x:c r="H17" s="2" t="s">
        <x:v>139</x:v>
      </x:c>
      <x:c r="I17" s="2" t="s">
        <x:v>140</x:v>
      </x:c>
      <x:c r="J17" s="2" t="s">
        <x:v>141</x:v>
      </x:c>
      <x:c r="K17" s="2">
        <x:v>25</x:v>
      </x:c>
      <x:c r="L17" s="2">
        <x:v>19</x:v>
      </x:c>
      <x:c r="M17" s="2">
        <x:v>14</x:v>
      </x:c>
      <x:c r="N17" s="2">
        <x:v>15</x:v>
      </x:c>
      <x:c r="O17" s="2">
        <x:v>10</x:v>
      </x:c>
      <x:c r="P17" s="2">
        <x:v>10</x:v>
      </x:c>
      <x:c r="Q17" s="2">
        <x:f t="shared" si="2"/>
        <x:v>93</x:v>
      </x:c>
      <x:c r="R17" s="2" t="str">
        <x:f t="shared" si="3"/>
        <x:v>HOT</x:v>
      </x:c>
      <x:c r="S17" s="2" t="s">
        <x:v>142</x:v>
      </x:c>
      <x:c r="T17" s="2" t="s">
        <x:v>143</x:v>
      </x:c>
      <x:c r="U17" s="2" t="s">
        <x:v>144</x:v>
      </x:c>
    </x:row>
    <x:row r="18" ht="41.400001525878906">
      <x:c r="A18" s="2" t="s">
        <x:v>145</x:v>
      </x:c>
      <x:c r="B18" s="3">
        <x:v>46252</x:v>
      </x:c>
      <x:c r="C18" s="2" t="s">
        <x:v>146</x:v>
      </x:c>
      <x:c r="D18" s="2">
        <x:v>2026</x:v>
      </x:c>
      <x:c r="E18" s="2" t="s">
        <x:v>147</x:v>
      </x:c>
      <x:c r="F18" s="2" t="s">
        <x:v>29</x:v>
      </x:c>
      <x:c r="G18" s="2" t="s">
        <x:v>30</x:v>
      </x:c>
      <x:c r="H18" s="2" t="s">
        <x:v>148</x:v>
      </x:c>
      <x:c r="I18" s="2" t="s">
        <x:v>149</x:v>
      </x:c>
      <x:c r="J18" s="2" t="s">
        <x:v>150</x:v>
      </x:c>
      <x:c r="K18" s="2">
        <x:v>22</x:v>
      </x:c>
      <x:c r="L18" s="2">
        <x:v>20</x:v>
      </x:c>
      <x:c r="M18" s="2">
        <x:v>15</x:v>
      </x:c>
      <x:c r="N18" s="2">
        <x:v>17</x:v>
      </x:c>
      <x:c r="O18" s="2">
        <x:v>10</x:v>
      </x:c>
      <x:c r="P18" s="2">
        <x:v>10</x:v>
      </x:c>
      <x:c r="Q18" s="2">
        <x:f t="shared" si="2"/>
        <x:v>94</x:v>
      </x:c>
      <x:c r="R18" s="2" t="str">
        <x:f t="shared" si="3"/>
        <x:v>HOT</x:v>
      </x:c>
      <x:c r="S18" s="2" t="s">
        <x:v>151</x:v>
      </x:c>
      <x:c r="T18" s="2" t="s">
        <x:v>152</x:v>
      </x:c>
      <x:c r="U18" s="2" t="s">
        <x:v>153</x:v>
      </x:c>
    </x:row>
    <x:row r="19" ht="55.20000076293945">
      <x:c r="A19" s="2" t="s">
        <x:v>154</x:v>
      </x:c>
      <x:c r="B19" s="3">
        <x:v>46253</x:v>
      </x:c>
      <x:c r="C19" s="2" t="s">
        <x:v>155</x:v>
      </x:c>
      <x:c r="D19" s="2">
        <x:v>2024</x:v>
      </x:c>
      <x:c r="E19" s="2" t="s">
        <x:v>156</x:v>
      </x:c>
      <x:c r="F19" s="2" t="s">
        <x:v>29</x:v>
      </x:c>
      <x:c r="G19" s="2" t="s">
        <x:v>30</x:v>
      </x:c>
      <x:c r="H19" s="2" t="s">
        <x:v>157</x:v>
      </x:c>
      <x:c r="I19" s="2" t="s">
        <x:v>158</x:v>
      </x:c>
      <x:c r="J19" s="2" t="s">
        <x:v>159</x:v>
      </x:c>
      <x:c r="K19" s="2">
        <x:v>22</x:v>
      </x:c>
      <x:c r="L19" s="2">
        <x:v>20</x:v>
      </x:c>
      <x:c r="M19" s="2">
        <x:v>14</x:v>
      </x:c>
      <x:c r="N19" s="2">
        <x:v>15</x:v>
      </x:c>
      <x:c r="O19" s="2">
        <x:v>9</x:v>
      </x:c>
      <x:c r="P19" s="2">
        <x:v>9</x:v>
      </x:c>
      <x:c r="Q19" s="2">
        <x:f t="shared" si="2"/>
        <x:v>89</x:v>
      </x:c>
      <x:c r="R19" s="2" t="str">
        <x:f t="shared" si="3"/>
        <x:v>HOT</x:v>
      </x:c>
      <x:c r="S19" s="2" t="s">
        <x:v>160</x:v>
      </x:c>
      <x:c r="T19" s="2" t="s">
        <x:v>161</x:v>
      </x:c>
      <x:c r="U19" s="2" t="s">
        <x:v>162</x:v>
      </x:c>
    </x:row>
    <x:row r="20" ht="41.400001525878906">
      <x:c r="A20" s="2" t="s">
        <x:v>163</x:v>
      </x:c>
      <x:c r="B20" s="3">
        <x:v>46254</x:v>
      </x:c>
      <x:c r="C20" s="2" t="s">
        <x:v>164</x:v>
      </x:c>
      <x:c r="D20" s="2">
        <x:v>2020</x:v>
      </x:c>
      <x:c r="E20" s="2" t="s">
        <x:v>165</x:v>
      </x:c>
      <x:c r="F20" s="2" t="s">
        <x:v>29</x:v>
      </x:c>
      <x:c r="G20" s="2" t="s">
        <x:v>30</x:v>
      </x:c>
      <x:c r="H20" s="2" t="s">
        <x:v>166</x:v>
      </x:c>
      <x:c r="I20" s="2" t="s">
        <x:v>167</x:v>
      </x:c>
      <x:c r="J20" s="2" t="s">
        <x:v>168</x:v>
      </x:c>
      <x:c r="K20" s="2">
        <x:v>22</x:v>
      </x:c>
      <x:c r="L20" s="2">
        <x:v>18</x:v>
      </x:c>
      <x:c r="M20" s="2">
        <x:v>12</x:v>
      </x:c>
      <x:c r="N20" s="2">
        <x:v>18</x:v>
      </x:c>
      <x:c r="O20" s="2">
        <x:v>10</x:v>
      </x:c>
      <x:c r="P20" s="2">
        <x:v>10</x:v>
      </x:c>
      <x:c r="Q20" s="2">
        <x:f t="shared" si="2"/>
        <x:v>90</x:v>
      </x:c>
      <x:c r="R20" s="2" t="str">
        <x:f t="shared" si="3"/>
        <x:v>HOT</x:v>
      </x:c>
      <x:c r="S20" s="2" t="s">
        <x:v>169</x:v>
      </x:c>
      <x:c r="T20" s="2" t="s">
        <x:v>170</x:v>
      </x:c>
      <x:c r="U20" s="2" t="s">
        <x:v>171</x:v>
      </x:c>
    </x:row>
    <x:row r="21" ht="41.400001525878906">
      <x:c r="A21" s="2" t="s">
        <x:v>172</x:v>
      </x:c>
      <x:c r="B21" s="3">
        <x:v>46255</x:v>
      </x:c>
      <x:c r="C21" s="2" t="s">
        <x:v>173</x:v>
      </x:c>
      <x:c r="D21" s="2">
        <x:v>2023</x:v>
      </x:c>
      <x:c r="E21" s="2" t="s">
        <x:v>174</x:v>
      </x:c>
      <x:c r="F21" s="2" t="s">
        <x:v>29</x:v>
      </x:c>
      <x:c r="G21" s="2" t="s">
        <x:v>30</x:v>
      </x:c>
      <x:c r="H21" s="2" t="s">
        <x:v>175</x:v>
      </x:c>
      <x:c r="I21" s="2" t="s">
        <x:v>176</x:v>
      </x:c>
      <x:c r="J21" s="2" t="s">
        <x:v>177</x:v>
      </x:c>
      <x:c r="K21" s="2">
        <x:v>25</x:v>
      </x:c>
      <x:c r="L21" s="2">
        <x:v>17</x:v>
      </x:c>
      <x:c r="M21" s="2">
        <x:v>15</x:v>
      </x:c>
      <x:c r="N21" s="2">
        <x:v>7</x:v>
      </x:c>
      <x:c r="O21" s="2">
        <x:v>7</x:v>
      </x:c>
      <x:c r="P21" s="2">
        <x:v>10</x:v>
      </x:c>
      <x:c r="Q21" s="2">
        <x:f t="shared" si="2"/>
        <x:v>81</x:v>
      </x:c>
      <x:c r="R21" s="2" t="str">
        <x:f t="shared" si="3"/>
        <x:v>HOT</x:v>
      </x:c>
      <x:c r="S21" s="2" t="s">
        <x:v>178</x:v>
      </x:c>
      <x:c r="T21" s="2" t="s">
        <x:v>179</x:v>
      </x:c>
      <x:c r="U21" s="2" t="s">
        <x:v>180</x:v>
      </x:c>
    </x:row>
    <x:row r="22" ht="55.20000076293945">
      <x:c r="A22" s="2" t="s">
        <x:v>181</x:v>
      </x:c>
      <x:c r="B22" s="3">
        <x:v>46256</x:v>
      </x:c>
      <x:c r="C22" s="2" t="s">
        <x:v>182</x:v>
      </x:c>
      <x:c r="D22" s="2">
        <x:v>2025</x:v>
      </x:c>
      <x:c r="E22" s="2" t="s">
        <x:v>183</x:v>
      </x:c>
      <x:c r="F22" s="2" t="s">
        <x:v>29</x:v>
      </x:c>
      <x:c r="G22" s="2" t="s">
        <x:v>30</x:v>
      </x:c>
      <x:c r="H22" s="2" t="s">
        <x:v>184</x:v>
      </x:c>
      <x:c r="I22" s="2" t="s">
        <x:v>185</x:v>
      </x:c>
      <x:c r="J22" s="2" t="s">
        <x:v>186</x:v>
      </x:c>
      <x:c r="K22" s="2">
        <x:v>18</x:v>
      </x:c>
      <x:c r="L22" s="2">
        <x:v>15</x:v>
      </x:c>
      <x:c r="M22" s="2">
        <x:v>13</x:v>
      </x:c>
      <x:c r="N22" s="2">
        <x:v>15</x:v>
      </x:c>
      <x:c r="O22" s="2">
        <x:v>10</x:v>
      </x:c>
      <x:c r="P22" s="2">
        <x:v>10</x:v>
      </x:c>
      <x:c r="Q22" s="2">
        <x:f t="shared" si="2"/>
        <x:v>81</x:v>
      </x:c>
      <x:c r="R22" s="2" t="str">
        <x:f t="shared" si="3"/>
        <x:v>HOT</x:v>
      </x:c>
      <x:c r="S22" s="2" t="s">
        <x:v>187</x:v>
      </x:c>
      <x:c r="T22" s="2" t="s">
        <x:v>188</x:v>
      </x:c>
      <x:c r="U22" s="2" t="s">
        <x:v>189</x:v>
      </x:c>
    </x:row>
    <x:row r="23" ht="41.400001525878906">
      <x:c r="A23" s="2" t="s">
        <x:v>190</x:v>
      </x:c>
      <x:c r="B23" s="3">
        <x:v>46257</x:v>
      </x:c>
      <x:c r="C23" s="2" t="s">
        <x:v>191</x:v>
      </x:c>
      <x:c r="D23" s="2">
        <x:v>2026</x:v>
      </x:c>
      <x:c r="E23" s="2" t="s">
        <x:v>192</x:v>
      </x:c>
      <x:c r="F23" s="2" t="s">
        <x:v>29</x:v>
      </x:c>
      <x:c r="G23" s="2" t="s">
        <x:v>30</x:v>
      </x:c>
      <x:c r="H23" s="2" t="s">
        <x:v>193</x:v>
      </x:c>
      <x:c r="I23" s="2" t="s">
        <x:v>194</x:v>
      </x:c>
      <x:c r="J23" s="2" t="s">
        <x:v>195</x:v>
      </x:c>
      <x:c r="K23" s="2">
        <x:v>22</x:v>
      </x:c>
      <x:c r="L23" s="2">
        <x:v>20</x:v>
      </x:c>
      <x:c r="M23" s="2">
        <x:v>15</x:v>
      </x:c>
      <x:c r="N23" s="2">
        <x:v>16</x:v>
      </x:c>
      <x:c r="O23" s="2">
        <x:v>10</x:v>
      </x:c>
      <x:c r="P23" s="2">
        <x:v>10</x:v>
      </x:c>
      <x:c r="Q23" s="2">
        <x:f t="shared" si="2"/>
        <x:v>93</x:v>
      </x:c>
      <x:c r="R23" s="2" t="str">
        <x:f t="shared" si="3"/>
        <x:v>HOT</x:v>
      </x:c>
      <x:c r="S23" s="2" t="s">
        <x:v>196</x:v>
      </x:c>
      <x:c r="T23" s="2" t="s">
        <x:v>197</x:v>
      </x:c>
      <x:c r="U23" s="2" t="s">
        <x:v>198</x:v>
      </x:c>
    </x:row>
    <x:row r="24" ht="41.400001525878906">
      <x:c r="A24" s="2" t="s">
        <x:v>199</x:v>
      </x:c>
      <x:c r="B24" s="3">
        <x:v>46258</x:v>
      </x:c>
      <x:c r="C24" s="2" t="s">
        <x:v>200</x:v>
      </x:c>
      <x:c r="D24" s="2">
        <x:v>2018</x:v>
      </x:c>
      <x:c r="E24" s="2" t="s">
        <x:v>201</x:v>
      </x:c>
      <x:c r="F24" s="2" t="s">
        <x:v>29</x:v>
      </x:c>
      <x:c r="G24" s="2" t="s">
        <x:v>30</x:v>
      </x:c>
      <x:c r="H24" s="2" t="s">
        <x:v>202</x:v>
      </x:c>
      <x:c r="I24" s="2" t="s">
        <x:v>203</x:v>
      </x:c>
      <x:c r="J24" s="2" t="s">
        <x:v>204</x:v>
      </x:c>
      <x:c r="K24" s="2">
        <x:v>20</x:v>
      </x:c>
      <x:c r="L24" s="2">
        <x:v>15</x:v>
      </x:c>
      <x:c r="M24" s="2">
        <x:v>15</x:v>
      </x:c>
      <x:c r="N24" s="2">
        <x:v>5</x:v>
      </x:c>
      <x:c r="O24" s="2">
        <x:v>6</x:v>
      </x:c>
      <x:c r="P24" s="2">
        <x:v>10</x:v>
      </x:c>
      <x:c r="Q24" s="2">
        <x:f t="shared" si="2"/>
        <x:v>71</x:v>
      </x:c>
      <x:c r="R24" s="2" t="str">
        <x:f t="shared" si="3"/>
        <x:v>WARM</x:v>
      </x:c>
      <x:c r="S24" s="2" t="s">
        <x:v>205</x:v>
      </x:c>
      <x:c r="T24" s="2" t="s">
        <x:v>206</x:v>
      </x:c>
      <x:c r="U24" s="2" t="s">
        <x:v>207</x:v>
      </x:c>
    </x:row>
    <x:row r="25" ht="41.400001525878906">
      <x:c r="A25" s="2" t="s">
        <x:v>208</x:v>
      </x:c>
      <x:c r="B25" s="3">
        <x:v>46259</x:v>
      </x:c>
      <x:c r="C25" s="2" t="s">
        <x:v>209</x:v>
      </x:c>
      <x:c r="D25" s="2">
        <x:v>2021</x:v>
      </x:c>
      <x:c r="E25" s="2" t="s">
        <x:v>210</x:v>
      </x:c>
      <x:c r="F25" s="2" t="s">
        <x:v>29</x:v>
      </x:c>
      <x:c r="G25" s="2" t="s">
        <x:v>30</x:v>
      </x:c>
      <x:c r="H25" s="2" t="s">
        <x:v>211</x:v>
      </x:c>
      <x:c r="I25" s="2" t="s">
        <x:v>212</x:v>
      </x:c>
      <x:c r="J25" s="2" t="s">
        <x:v>213</x:v>
      </x:c>
      <x:c r="K25" s="2">
        <x:v>23</x:v>
      </x:c>
      <x:c r="L25" s="2">
        <x:v>17</x:v>
      </x:c>
      <x:c r="M25" s="2">
        <x:v>15</x:v>
      </x:c>
      <x:c r="N25" s="2">
        <x:v>7</x:v>
      </x:c>
      <x:c r="O25" s="2">
        <x:v>6</x:v>
      </x:c>
      <x:c r="P25" s="2">
        <x:v>10</x:v>
      </x:c>
      <x:c r="Q25" s="2">
        <x:f t="shared" si="2"/>
        <x:v>78</x:v>
      </x:c>
      <x:c r="R25" s="2" t="str">
        <x:f t="shared" si="3"/>
        <x:v>HOT</x:v>
      </x:c>
      <x:c r="S25" s="2" t="s">
        <x:v>214</x:v>
      </x:c>
      <x:c r="T25" s="2" t="s">
        <x:v>215</x:v>
      </x:c>
      <x:c r="U25" s="2" t="s">
        <x:v>216</x:v>
      </x:c>
    </x:row>
    <x:row r="26" ht="55.20000076293945">
      <x:c r="A26" s="2" t="s">
        <x:v>217</x:v>
      </x:c>
      <x:c r="B26" s="3">
        <x:v>46260</x:v>
      </x:c>
      <x:c r="C26" s="2" t="s">
        <x:v>218</x:v>
      </x:c>
      <x:c r="D26" s="2">
        <x:v>2025</x:v>
      </x:c>
      <x:c r="E26" s="2" t="s">
        <x:v>219</x:v>
      </x:c>
      <x:c r="F26" s="2" t="s">
        <x:v>29</x:v>
      </x:c>
      <x:c r="G26" s="2" t="s">
        <x:v>30</x:v>
      </x:c>
      <x:c r="H26" s="2" t="s">
        <x:v>220</x:v>
      </x:c>
      <x:c r="I26" s="2" t="s">
        <x:v>221</x:v>
      </x:c>
      <x:c r="J26" s="2" t="s">
        <x:v>222</x:v>
      </x:c>
      <x:c r="K26" s="2">
        <x:v>22</x:v>
      </x:c>
      <x:c r="L26" s="2">
        <x:v>17</x:v>
      </x:c>
      <x:c r="M26" s="2">
        <x:v>15</x:v>
      </x:c>
      <x:c r="N26" s="2">
        <x:v>14</x:v>
      </x:c>
      <x:c r="O26" s="2">
        <x:v>9</x:v>
      </x:c>
      <x:c r="P26" s="2">
        <x:v>9</x:v>
      </x:c>
      <x:c r="Q26" s="2">
        <x:f t="shared" si="2"/>
        <x:v>86</x:v>
      </x:c>
      <x:c r="R26" s="2" t="str">
        <x:f t="shared" si="3"/>
        <x:v>HOT</x:v>
      </x:c>
      <x:c r="S26" s="2" t="s">
        <x:v>223</x:v>
      </x:c>
      <x:c r="T26" s="2" t="s">
        <x:v>224</x:v>
      </x:c>
      <x:c r="U26" s="2" t="s">
        <x:v>225</x:v>
      </x:c>
    </x:row>
    <x:row r="27" ht="41.400001525878906">
      <x:c r="A27" s="2" t="s">
        <x:v>226</x:v>
      </x:c>
      <x:c r="B27" s="3">
        <x:v>46261</x:v>
      </x:c>
      <x:c r="C27" s="2" t="s">
        <x:v>227</x:v>
      </x:c>
      <x:c r="D27" s="2">
        <x:v>2022</x:v>
      </x:c>
      <x:c r="E27" s="2" t="s">
        <x:v>228</x:v>
      </x:c>
      <x:c r="F27" s="2" t="s">
        <x:v>29</x:v>
      </x:c>
      <x:c r="G27" s="2" t="s">
        <x:v>30</x:v>
      </x:c>
      <x:c r="H27" s="2" t="s">
        <x:v>229</x:v>
      </x:c>
      <x:c r="I27" s="2" t="s">
        <x:v>230</x:v>
      </x:c>
      <x:c r="J27" s="2" t="s">
        <x:v>231</x:v>
      </x:c>
      <x:c r="K27" s="2">
        <x:v>25</x:v>
      </x:c>
      <x:c r="L27" s="2">
        <x:v>16</x:v>
      </x:c>
      <x:c r="M27" s="2">
        <x:v>14</x:v>
      </x:c>
      <x:c r="N27" s="2">
        <x:v>4</x:v>
      </x:c>
      <x:c r="O27" s="2">
        <x:v>7</x:v>
      </x:c>
      <x:c r="P27" s="2">
        <x:v>10</x:v>
      </x:c>
      <x:c r="Q27" s="2">
        <x:f t="shared" si="2"/>
        <x:v>76</x:v>
      </x:c>
      <x:c r="R27" s="2" t="str">
        <x:f t="shared" si="3"/>
        <x:v>HOT</x:v>
      </x:c>
      <x:c r="S27" s="2" t="s">
        <x:v>232</x:v>
      </x:c>
      <x:c r="T27" s="2" t="s">
        <x:v>233</x:v>
      </x:c>
      <x:c r="U27" s="2" t="s">
        <x:v>234</x:v>
      </x:c>
    </x:row>
    <x:row r="28" ht="55.20000076293945">
      <x:c r="A28" s="2" t="s">
        <x:v>235</x:v>
      </x:c>
      <x:c r="B28" s="3">
        <x:v>46262</x:v>
      </x:c>
      <x:c r="C28" s="2" t="s">
        <x:v>236</x:v>
      </x:c>
      <x:c r="D28" s="2">
        <x:v>2022</x:v>
      </x:c>
      <x:c r="E28" s="2" t="s">
        <x:v>237</x:v>
      </x:c>
      <x:c r="F28" s="2" t="s">
        <x:v>29</x:v>
      </x:c>
      <x:c r="G28" s="2" t="s">
        <x:v>30</x:v>
      </x:c>
      <x:c r="H28" s="2" t="s">
        <x:v>238</x:v>
      </x:c>
      <x:c r="I28" s="2" t="s">
        <x:v>239</x:v>
      </x:c>
      <x:c r="J28" s="2" t="s">
        <x:v>240</x:v>
      </x:c>
      <x:c r="K28" s="2">
        <x:v>20</x:v>
      </x:c>
      <x:c r="L28" s="2">
        <x:v>13</x:v>
      </x:c>
      <x:c r="M28" s="2">
        <x:v>15</x:v>
      </x:c>
      <x:c r="N28" s="2">
        <x:v>14</x:v>
      </x:c>
      <x:c r="O28" s="2">
        <x:v>9</x:v>
      </x:c>
      <x:c r="P28" s="2">
        <x:v>9</x:v>
      </x:c>
      <x:c r="Q28" s="2">
        <x:f t="shared" si="2"/>
        <x:v>80</x:v>
      </x:c>
      <x:c r="R28" s="2" t="str">
        <x:f t="shared" si="3"/>
        <x:v>HOT</x:v>
      </x:c>
      <x:c r="S28" s="2" t="s">
        <x:v>241</x:v>
      </x:c>
      <x:c r="T28" s="2" t="s">
        <x:v>242</x:v>
      </x:c>
      <x:c r="U28" s="2" t="s">
        <x:v>243</x:v>
      </x:c>
    </x:row>
    <x:row r="29" ht="55.20000076293945">
      <x:c r="A29" s="2" t="s">
        <x:v>244</x:v>
      </x:c>
      <x:c r="B29" s="3">
        <x:v>46263</x:v>
      </x:c>
      <x:c r="C29" s="2" t="s">
        <x:v>245</x:v>
      </x:c>
      <x:c r="D29" s="2">
        <x:v>2018</x:v>
      </x:c>
      <x:c r="E29" s="2" t="s">
        <x:v>246</x:v>
      </x:c>
      <x:c r="F29" s="2" t="s">
        <x:v>29</x:v>
      </x:c>
      <x:c r="G29" s="2" t="s">
        <x:v>30</x:v>
      </x:c>
      <x:c r="H29" s="2" t="s">
        <x:v>247</x:v>
      </x:c>
      <x:c r="I29" s="2" t="s">
        <x:v>248</x:v>
      </x:c>
      <x:c r="J29" s="2" t="s">
        <x:v>249</x:v>
      </x:c>
      <x:c r="K29" s="2">
        <x:v>25</x:v>
      </x:c>
      <x:c r="L29" s="2">
        <x:v>14</x:v>
      </x:c>
      <x:c r="M29" s="2">
        <x:v>15</x:v>
      </x:c>
      <x:c r="N29" s="2">
        <x:v>8</x:v>
      </x:c>
      <x:c r="O29" s="2">
        <x:v>8</x:v>
      </x:c>
      <x:c r="P29" s="2">
        <x:v>10</x:v>
      </x:c>
      <x:c r="Q29" s="2">
        <x:f t="shared" si="2"/>
        <x:v>80</x:v>
      </x:c>
      <x:c r="R29" s="2" t="str">
        <x:f t="shared" si="3"/>
        <x:v>HOT</x:v>
      </x:c>
      <x:c r="S29" s="2" t="s">
        <x:v>250</x:v>
      </x:c>
      <x:c r="T29" s="2" t="s">
        <x:v>251</x:v>
      </x:c>
      <x:c r="U29" s="2" t="s">
        <x:v>252</x:v>
      </x:c>
    </x:row>
    <x:row r="30" ht="41.400001525878906">
      <x:c r="A30" s="2" t="s">
        <x:v>253</x:v>
      </x:c>
      <x:c r="B30" s="3">
        <x:v>46265</x:v>
      </x:c>
      <x:c r="C30" s="2" t="s">
        <x:v>254</x:v>
      </x:c>
      <x:c r="D30" s="2">
        <x:v>2026</x:v>
      </x:c>
      <x:c r="E30" s="2" t="s">
        <x:v>255</x:v>
      </x:c>
      <x:c r="F30" s="2" t="s">
        <x:v>29</x:v>
      </x:c>
      <x:c r="G30" s="2" t="s">
        <x:v>30</x:v>
      </x:c>
      <x:c r="H30" s="2" t="s">
        <x:v>256</x:v>
      </x:c>
      <x:c r="I30" s="2" t="s">
        <x:v>257</x:v>
      </x:c>
      <x:c r="J30" s="2" t="s">
        <x:v>258</x:v>
      </x:c>
      <x:c r="K30" s="2">
        <x:v>25</x:v>
      </x:c>
      <x:c r="L30" s="2">
        <x:v>18</x:v>
      </x:c>
      <x:c r="M30" s="2">
        <x:v>14</x:v>
      </x:c>
      <x:c r="N30" s="2">
        <x:v>8</x:v>
      </x:c>
      <x:c r="O30" s="2">
        <x:v>9</x:v>
      </x:c>
      <x:c r="P30" s="2">
        <x:v>10</x:v>
      </x:c>
      <x:c r="Q30" s="2">
        <x:f t="shared" si="2"/>
        <x:v>84</x:v>
      </x:c>
      <x:c r="R30" s="2" t="str">
        <x:f t="shared" si="3"/>
        <x:v>HOT</x:v>
      </x:c>
      <x:c r="S30" s="2" t="s">
        <x:v>259</x:v>
      </x:c>
      <x:c r="T30" s="2" t="s">
        <x:v>260</x:v>
      </x:c>
      <x:c r="U30" s="2" t="s">
        <x:v>261</x:v>
      </x:c>
    </x:row>
    <x:row r="31" ht="41.400001525878906">
      <x:c r="A31" s="2" t="s">
        <x:v>262</x:v>
      </x:c>
      <x:c r="B31" s="3">
        <x:v>46266</x:v>
      </x:c>
      <x:c r="C31" s="2" t="s">
        <x:v>263</x:v>
      </x:c>
      <x:c r="D31" s="2">
        <x:v>2025</x:v>
      </x:c>
      <x:c r="E31" s="2" t="s">
        <x:v>264</x:v>
      </x:c>
      <x:c r="F31" s="2" t="s">
        <x:v>29</x:v>
      </x:c>
      <x:c r="G31" s="2" t="s">
        <x:v>30</x:v>
      </x:c>
      <x:c r="H31" s="2" t="s">
        <x:v>265</x:v>
      </x:c>
      <x:c r="I31" s="2" t="s">
        <x:v>266</x:v>
      </x:c>
      <x:c r="J31" s="2" t="s">
        <x:v>267</x:v>
      </x:c>
      <x:c r="K31" s="2">
        <x:v>21</x:v>
      </x:c>
      <x:c r="L31" s="2">
        <x:v>17</x:v>
      </x:c>
      <x:c r="M31" s="2">
        <x:v>14</x:v>
      </x:c>
      <x:c r="N31" s="2">
        <x:v>17</x:v>
      </x:c>
      <x:c r="O31" s="2">
        <x:v>10</x:v>
      </x:c>
      <x:c r="P31" s="2">
        <x:v>10</x:v>
      </x:c>
      <x:c r="Q31" s="2">
        <x:f t="shared" si="2"/>
        <x:v>89</x:v>
      </x:c>
      <x:c r="R31" s="2" t="str">
        <x:f t="shared" si="3"/>
        <x:v>HOT</x:v>
      </x:c>
      <x:c r="S31" s="2" t="s">
        <x:v>268</x:v>
      </x:c>
      <x:c r="T31" s="2" t="s">
        <x:v>269</x:v>
      </x:c>
      <x:c r="U31" s="2" t="s">
        <x:v>270</x:v>
      </x:c>
    </x:row>
    <x:row r="32" ht="55.20000076293945">
      <x:c r="A32" s="2" t="s">
        <x:v>271</x:v>
      </x:c>
      <x:c r="B32" s="3">
        <x:v>46268</x:v>
      </x:c>
      <x:c r="C32" s="2" t="s">
        <x:v>272</x:v>
      </x:c>
      <x:c r="D32" s="2">
        <x:v>2023</x:v>
      </x:c>
      <x:c r="E32" s="2" t="s">
        <x:v>273</x:v>
      </x:c>
      <x:c r="F32" s="2" t="s">
        <x:v>29</x:v>
      </x:c>
      <x:c r="G32" s="2" t="s">
        <x:v>30</x:v>
      </x:c>
      <x:c r="H32" s="2" t="s">
        <x:v>274</x:v>
      </x:c>
      <x:c r="I32" s="2" t="s">
        <x:v>275</x:v>
      </x:c>
      <x:c r="J32" s="2" t="s">
        <x:v>276</x:v>
      </x:c>
      <x:c r="K32" s="2">
        <x:v>25</x:v>
      </x:c>
      <x:c r="L32" s="2">
        <x:v>18</x:v>
      </x:c>
      <x:c r="M32" s="2">
        <x:v>15</x:v>
      </x:c>
      <x:c r="N32" s="2">
        <x:v>20</x:v>
      </x:c>
      <x:c r="O32" s="2">
        <x:v>10</x:v>
      </x:c>
      <x:c r="P32" s="2">
        <x:v>10</x:v>
      </x:c>
      <x:c r="Q32" s="2">
        <x:f t="shared" si="2"/>
        <x:v>98</x:v>
      </x:c>
      <x:c r="R32" s="2" t="str">
        <x:f t="shared" si="3"/>
        <x:v>HOT</x:v>
      </x:c>
      <x:c r="S32" s="2" t="s">
        <x:v>277</x:v>
      </x:c>
      <x:c r="T32" s="2" t="s">
        <x:v>278</x:v>
      </x:c>
      <x:c r="U32" s="2" t="s">
        <x:v>279</x:v>
      </x:c>
    </x:row>
    <x:row r="33" ht="41.400001525878906">
      <x:c r="A33" s="2" t="s">
        <x:v>280</x:v>
      </x:c>
      <x:c r="B33" s="3">
        <x:v>46273</x:v>
      </x:c>
      <x:c r="C33" s="2" t="s">
        <x:v>281</x:v>
      </x:c>
      <x:c r="D33" s="2">
        <x:v>2023</x:v>
      </x:c>
      <x:c r="E33" s="2" t="s">
        <x:v>282</x:v>
      </x:c>
      <x:c r="F33" s="2" t="s">
        <x:v>29</x:v>
      </x:c>
      <x:c r="G33" s="2" t="s">
        <x:v>30</x:v>
      </x:c>
      <x:c r="H33" s="2" t="s">
        <x:v>283</x:v>
      </x:c>
      <x:c r="I33" s="2" t="s">
        <x:v>284</x:v>
      </x:c>
      <x:c r="J33" s="2" t="s">
        <x:v>285</x:v>
      </x:c>
      <x:c r="K33" s="2">
        <x:v>25</x:v>
      </x:c>
      <x:c r="L33" s="2">
        <x:v>20</x:v>
      </x:c>
      <x:c r="M33" s="2">
        <x:v>13</x:v>
      </x:c>
      <x:c r="N33" s="2">
        <x:v>5</x:v>
      </x:c>
      <x:c r="O33" s="2">
        <x:v>8</x:v>
      </x:c>
      <x:c r="P33" s="2">
        <x:v>10</x:v>
      </x:c>
      <x:c r="Q33" s="2">
        <x:f t="shared" si="2"/>
        <x:v>81</x:v>
      </x:c>
      <x:c r="R33" s="2" t="str">
        <x:f t="shared" si="3"/>
        <x:v>HOT</x:v>
      </x:c>
      <x:c r="S33" s="2" t="s">
        <x:v>286</x:v>
      </x:c>
      <x:c r="T33" s="2" t="s">
        <x:v>287</x:v>
      </x:c>
      <x:c r="U33" s="2" t="s">
        <x:v>288</x:v>
      </x:c>
    </x:row>
    <x:row r="34" ht="41.400001525878906">
      <x:c r="A34" s="2" t="s">
        <x:v>289</x:v>
      </x:c>
      <x:c r="B34" s="3">
        <x:v>46274</x:v>
      </x:c>
      <x:c r="C34" s="2" t="s">
        <x:v>290</x:v>
      </x:c>
      <x:c r="D34" s="2">
        <x:v>2021</x:v>
      </x:c>
      <x:c r="E34" s="2" t="s">
        <x:v>291</x:v>
      </x:c>
      <x:c r="F34" s="2" t="s">
        <x:v>29</x:v>
      </x:c>
      <x:c r="G34" s="2" t="s">
        <x:v>30</x:v>
      </x:c>
      <x:c r="H34" s="2" t="s">
        <x:v>292</x:v>
      </x:c>
      <x:c r="I34" s="2" t="s">
        <x:v>293</x:v>
      </x:c>
      <x:c r="J34" s="2" t="s">
        <x:v>294</x:v>
      </x:c>
      <x:c r="K34" s="2">
        <x:v>15</x:v>
      </x:c>
      <x:c r="L34" s="2">
        <x:v>12</x:v>
      </x:c>
      <x:c r="M34" s="2">
        <x:v>12</x:v>
      </x:c>
      <x:c r="N34" s="2">
        <x:v>10</x:v>
      </x:c>
      <x:c r="O34" s="2">
        <x:v>8</x:v>
      </x:c>
      <x:c r="P34" s="2">
        <x:v>10</x:v>
      </x:c>
      <x:c r="Q34" s="2">
        <x:f t="shared" si="2"/>
        <x:v>67</x:v>
      </x:c>
      <x:c r="R34" s="2" t="str">
        <x:f t="shared" si="3"/>
        <x:v>WARM</x:v>
      </x:c>
      <x:c r="S34" s="2" t="s">
        <x:v>295</x:v>
      </x:c>
      <x:c r="T34" s="2" t="s">
        <x:v>296</x:v>
      </x:c>
      <x:c r="U34" s="2" t="s">
        <x:v>297</x:v>
      </x:c>
    </x:row>
    <x:row r="35" ht="41.400001525878906">
      <x:c r="A35" s="2" t="s">
        <x:v>298</x:v>
      </x:c>
      <x:c r="B35" s="3">
        <x:v>46278</x:v>
      </x:c>
      <x:c r="C35" s="2" t="s">
        <x:v>299</x:v>
      </x:c>
      <x:c r="D35" s="2">
        <x:v>2025</x:v>
      </x:c>
      <x:c r="E35" s="2" t="s">
        <x:v>300</x:v>
      </x:c>
      <x:c r="F35" s="2" t="s">
        <x:v>29</x:v>
      </x:c>
      <x:c r="G35" s="2" t="s">
        <x:v>30</x:v>
      </x:c>
      <x:c r="H35" s="2" t="s">
        <x:v>301</x:v>
      </x:c>
      <x:c r="I35" s="2" t="s">
        <x:v>302</x:v>
      </x:c>
      <x:c r="J35" s="2" t="s">
        <x:v>303</x:v>
      </x:c>
      <x:c r="K35" s="2">
        <x:v>18</x:v>
      </x:c>
      <x:c r="L35" s="2">
        <x:v>13</x:v>
      </x:c>
      <x:c r="M35" s="2">
        <x:v>15</x:v>
      </x:c>
      <x:c r="N35" s="2">
        <x:v>16</x:v>
      </x:c>
      <x:c r="O35" s="2">
        <x:v>10</x:v>
      </x:c>
      <x:c r="P35" s="2">
        <x:v>9</x:v>
      </x:c>
      <x:c r="Q35" s="2">
        <x:f t="shared" si="2"/>
        <x:v>81</x:v>
      </x:c>
      <x:c r="R35" s="2" t="str">
        <x:f t="shared" si="3"/>
        <x:v>HOT</x:v>
      </x:c>
      <x:c r="S35" s="2" t="s">
        <x:v>304</x:v>
      </x:c>
      <x:c r="T35" s="2" t="s">
        <x:v>305</x:v>
      </x:c>
      <x:c r="U35" s="2" t="s">
        <x:v>306</x:v>
      </x:c>
    </x:row>
  </x:sheetData>
  <x:mergeCells>
    <x:mergeCell ref="A1:U1"/>
    <x:mergeCell ref="A2:U2"/>
  </x:mergeCells>
  <x:conditionalFormatting sqref="Q5:Q13">
    <x:cfRule type="dataBar" priority="4">
      <x:dataBar>
        <x:cfvo type="min"/>
        <x:cfvo type="max"/>
        <x:color rgb="FF5B9BD5"/>
      </x:dataBar>
    </x:cfRule>
    <x:cfRule type="dataBar" priority="5">
      <x:dataBar>
        <x:cfvo type="min"/>
        <x:cfvo type="max"/>
        <x:color rgb="FF5B9BD5"/>
      </x:dataBar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{67A1E4CB-3F56-ED8B-EB5C-B20C0A76D14C}</x14:id>
        </x:ext>
      </x:extLst>
    </x:cfRule>
  </x:conditionalFormatting>
  <x:conditionalFormatting sqref="Q5:Q35">
    <x:cfRule type="dataBar" priority="9">
      <x:dataBar>
        <x:cfvo type="min"/>
        <x:cfvo type="max"/>
        <x:color rgb="FF5B9BD5"/>
      </x:dataBar>
    </x:cfRule>
    <x:cfRule type="dataBar" priority="1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{CCF27BE7-4B06-98EC-010A-D5F692BB5B83}</x14:id>
        </x:ext>
      </x:extLst>
    </x:cfRule>
  </x:conditionalFormatting>
  <x:conditionalFormatting sqref="R5:R13">
    <x:cfRule type="expression" dxfId="43" priority="1">
      <x:formula>R5="HOT"</x:formula>
    </x:cfRule>
    <x:cfRule type="expression" dxfId="42" priority="2">
      <x:formula>R5="WARM"</x:formula>
    </x:cfRule>
    <x:cfRule type="expression" dxfId="41" priority="3">
      <x:formula>R5="COLD"</x:formula>
    </x:cfRule>
  </x:conditionalFormatting>
  <x:conditionalFormatting sqref="R5:R35">
    <x:cfRule type="expression" dxfId="40" priority="6">
      <x:formula>R5="HOT"</x:formula>
    </x:cfRule>
    <x:cfRule type="expression" dxfId="39" priority="7">
      <x:formula>R5="WARM"</x:formula>
    </x:cfRule>
    <x:cfRule type="expression" dxfId="38" priority="8">
      <x:formula>R5="COLD"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eb8682b590497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67A1E4CB-3F56-ED8B-EB5C-B20C0A76D14C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Q5:Q13</xm:sqref>
        </x14:conditionalFormatting>
        <x14:conditionalFormatting>
          <x14:cfRule type="dataBar" priority="11" id="{CCF27BE7-4B06-98EC-010A-D5F692BB5B83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Q5:Q35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1" customWidth="1"/>
    <x:col min="2" max="2" width="20" customWidth="1"/>
    <x:col min="3" max="3" width="28" customWidth="1"/>
    <x:col min="4" max="4" width="22" customWidth="1"/>
    <x:col min="5" max="5" width="34" customWidth="1"/>
    <x:col min="6" max="6" width="32" customWidth="1"/>
    <x:col min="7" max="7" width="10" customWidth="1"/>
    <x:col min="8" max="8" width="40" customWidth="1"/>
  </x:cols>
  <x:sheetData>
    <x:row r="1" ht="21">
      <x:c r="A1" s="39" t="s">
        <x:v>307</x:v>
      </x:c>
      <x:c r="B1" s="39"/>
      <x:c r="C1" s="39"/>
      <x:c r="D1" s="39"/>
      <x:c r="E1" s="39"/>
      <x:c r="F1" s="39"/>
      <x:c r="G1" s="39"/>
      <x:c r="H1" s="39"/>
    </x:row>
    <x:row r="2" ht="14.399999618530273">
      <x:c r="A2" s="40" t="s">
        <x:v>308</x:v>
      </x:c>
      <x:c r="B2" s="40"/>
      <x:c r="C2" s="40"/>
      <x:c r="D2" s="40"/>
      <x:c r="E2" s="40"/>
      <x:c r="F2" s="40"/>
      <x:c r="G2" s="40"/>
      <x:c r="H2" s="40"/>
    </x:row>
    <x:row r="4">
      <x:c r="A4" s="1" t="s">
        <x:v>309</x:v>
      </x:c>
      <x:c r="B4" s="1" t="s">
        <x:v>310</x:v>
      </x:c>
      <x:c r="C4" s="1" t="s">
        <x:v>311</x:v>
      </x:c>
      <x:c r="D4" s="1" t="s">
        <x:v>312</x:v>
      </x:c>
      <x:c r="E4" s="1" t="s">
        <x:v>313</x:v>
      </x:c>
      <x:c r="F4" s="1" t="s">
        <x:v>314</x:v>
      </x:c>
      <x:c r="G4" s="1" t="s">
        <x:v>22</x:v>
      </x:c>
      <x:c r="H4" s="1" t="s">
        <x:v>315</x:v>
      </x:c>
    </x:row>
    <x:row r="5" ht="27.600000381469727">
      <x:c r="A5" s="2">
        <x:v>5</x:v>
      </x:c>
      <x:c r="B5" s="2" t="s">
        <x:v>316</x:v>
      </x:c>
      <x:c r="C5" s="2" t="s">
        <x:v>317</x:v>
      </x:c>
      <x:c r="D5" s="2" t="s">
        <x:v>318</x:v>
      </x:c>
      <x:c r="E5" s="2" t="s">
        <x:v>319</x:v>
      </x:c>
      <x:c r="F5" s="2" t="s">
        <x:v>320</x:v>
      </x:c>
      <x:c r="G5" s="2" t="s">
        <x:v>1</x:v>
      </x:c>
      <x:c r="H5" s="2" t="s">
        <x:v>321</x:v>
      </x:c>
    </x:row>
    <x:row r="6" ht="27.600000381469727">
      <x:c r="A6" s="2">
        <x:v>5</x:v>
      </x:c>
      <x:c r="B6" s="2" t="s">
        <x:v>316</x:v>
      </x:c>
      <x:c r="C6" s="2" t="s">
        <x:v>317</x:v>
      </x:c>
      <x:c r="D6" s="2" t="s">
        <x:v>322</x:v>
      </x:c>
      <x:c r="E6" s="2" t="s">
        <x:v>323</x:v>
      </x:c>
      <x:c r="F6" s="2" t="s">
        <x:v>324</x:v>
      </x:c>
      <x:c r="G6" s="2" t="s">
        <x:v>1</x:v>
      </x:c>
      <x:c r="H6" s="2" t="s">
        <x:v>325</x:v>
      </x:c>
    </x:row>
    <x:row r="7" ht="27.600000381469727">
      <x:c r="A7" s="2">
        <x:v>5</x:v>
      </x:c>
      <x:c r="B7" s="2" t="s">
        <x:v>316</x:v>
      </x:c>
      <x:c r="C7" s="2" t="s">
        <x:v>317</x:v>
      </x:c>
      <x:c r="D7" s="2" t="s">
        <x:v>326</x:v>
      </x:c>
      <x:c r="E7" s="2" t="s">
        <x:v>327</x:v>
      </x:c>
      <x:c r="F7" s="2" t="s">
        <x:v>328</x:v>
      </x:c>
      <x:c r="G7" s="2" t="s">
        <x:v>2</x:v>
      </x:c>
      <x:c r="H7" s="2" t="s">
        <x:v>329</x:v>
      </x:c>
    </x:row>
    <x:row r="8" ht="27.600000381469727">
      <x:c r="A8" s="2">
        <x:v>5</x:v>
      </x:c>
      <x:c r="B8" s="2" t="s">
        <x:v>316</x:v>
      </x:c>
      <x:c r="C8" s="2" t="s">
        <x:v>317</x:v>
      </x:c>
      <x:c r="D8" s="2" t="s">
        <x:v>330</x:v>
      </x:c>
      <x:c r="E8" s="2" t="s">
        <x:v>331</x:v>
      </x:c>
      <x:c r="F8" s="2" t="s">
        <x:v>332</x:v>
      </x:c>
      <x:c r="G8" s="2" t="s">
        <x:v>1</x:v>
      </x:c>
      <x:c r="H8" s="2" t="s">
        <x:v>333</x:v>
      </x:c>
    </x:row>
    <x:row r="9" ht="27.600000381469727">
      <x:c r="A9" s="2">
        <x:v>5</x:v>
      </x:c>
      <x:c r="B9" s="2" t="s">
        <x:v>316</x:v>
      </x:c>
      <x:c r="C9" s="2" t="s">
        <x:v>317</x:v>
      </x:c>
      <x:c r="D9" s="2" t="s">
        <x:v>334</x:v>
      </x:c>
      <x:c r="E9" s="2" t="s">
        <x:v>335</x:v>
      </x:c>
      <x:c r="F9" s="2" t="s">
        <x:v>336</x:v>
      </x:c>
      <x:c r="G9" s="2" t="s">
        <x:v>1</x:v>
      </x:c>
      <x:c r="H9" s="2" t="s">
        <x:v>337</x:v>
      </x:c>
    </x:row>
    <x:row r="10" ht="27.600000381469727">
      <x:c r="A10" s="2">
        <x:v>5</x:v>
      </x:c>
      <x:c r="B10" s="2" t="s">
        <x:v>316</x:v>
      </x:c>
      <x:c r="C10" s="2" t="s">
        <x:v>317</x:v>
      </x:c>
      <x:c r="D10" s="2" t="s">
        <x:v>338</x:v>
      </x:c>
      <x:c r="E10" s="2" t="s">
        <x:v>339</x:v>
      </x:c>
      <x:c r="F10" s="2" t="s">
        <x:v>340</x:v>
      </x:c>
      <x:c r="G10" s="2" t="s">
        <x:v>1</x:v>
      </x:c>
      <x:c r="H10" s="2" t="s">
        <x:v>341</x:v>
      </x:c>
    </x:row>
    <x:row r="11" ht="27.600000381469727">
      <x:c r="A11" s="2">
        <x:v>5</x:v>
      </x:c>
      <x:c r="B11" s="2" t="s">
        <x:v>316</x:v>
      </x:c>
      <x:c r="C11" s="2" t="s">
        <x:v>317</x:v>
      </x:c>
      <x:c r="D11" s="2" t="s">
        <x:v>342</x:v>
      </x:c>
      <x:c r="E11" s="2" t="s">
        <x:v>343</x:v>
      </x:c>
      <x:c r="F11" s="2" t="s">
        <x:v>344</x:v>
      </x:c>
      <x:c r="G11" s="2" t="s">
        <x:v>1</x:v>
      </x:c>
      <x:c r="H11" s="2" t="s">
        <x:v>345</x:v>
      </x:c>
    </x:row>
    <x:row r="12" ht="27.600000381469727">
      <x:c r="A12" s="2">
        <x:v>5</x:v>
      </x:c>
      <x:c r="B12" s="2" t="s">
        <x:v>316</x:v>
      </x:c>
      <x:c r="C12" s="2" t="s">
        <x:v>317</x:v>
      </x:c>
      <x:c r="D12" s="2" t="s">
        <x:v>346</x:v>
      </x:c>
      <x:c r="E12" s="2" t="s">
        <x:v>347</x:v>
      </x:c>
      <x:c r="F12" s="2" t="s">
        <x:v>348</x:v>
      </x:c>
      <x:c r="G12" s="2" t="s">
        <x:v>1</x:v>
      </x:c>
      <x:c r="H12" s="2" t="s">
        <x:v>349</x:v>
      </x:c>
    </x:row>
    <x:row r="13" ht="27.600000381469727">
      <x:c r="A13" s="2">
        <x:v>5</x:v>
      </x:c>
      <x:c r="B13" s="2" t="s">
        <x:v>316</x:v>
      </x:c>
      <x:c r="C13" s="2" t="s">
        <x:v>317</x:v>
      </x:c>
      <x:c r="D13" s="2" t="s">
        <x:v>350</x:v>
      </x:c>
      <x:c r="E13" s="2" t="s">
        <x:v>351</x:v>
      </x:c>
      <x:c r="F13" s="2" t="s">
        <x:v>352</x:v>
      </x:c>
      <x:c r="G13" s="2" t="s">
        <x:v>1</x:v>
      </x:c>
      <x:c r="H13" s="2" t="s">
        <x:v>353</x:v>
      </x:c>
    </x:row>
    <x:row r="14" ht="27.600000381469727">
      <x:c r="A14" s="2">
        <x:v>4</x:v>
      </x:c>
      <x:c r="B14" s="2" t="s">
        <x:v>354</x:v>
      </x:c>
      <x:c r="C14" s="2" t="s">
        <x:v>355</x:v>
      </x:c>
      <x:c r="D14" s="2" t="s">
        <x:v>356</x:v>
      </x:c>
      <x:c r="E14" s="2" t="s">
        <x:v>357</x:v>
      </x:c>
      <x:c r="F14" s="2" t="s">
        <x:v>358</x:v>
      </x:c>
      <x:c r="G14" s="2" t="s">
        <x:v>1</x:v>
      </x:c>
      <x:c r="H14" s="2" t="s">
        <x:v>359</x:v>
      </x:c>
    </x:row>
    <x:row r="15" ht="27.600000381469727">
      <x:c r="A15" s="2">
        <x:v>4</x:v>
      </x:c>
      <x:c r="B15" s="2" t="s">
        <x:v>354</x:v>
      </x:c>
      <x:c r="C15" s="2" t="s">
        <x:v>355</x:v>
      </x:c>
      <x:c r="D15" s="2" t="s">
        <x:v>360</x:v>
      </x:c>
      <x:c r="E15" s="2" t="s">
        <x:v>361</x:v>
      </x:c>
      <x:c r="F15" s="2" t="s">
        <x:v>362</x:v>
      </x:c>
      <x:c r="G15" s="2" t="s">
        <x:v>1</x:v>
      </x:c>
      <x:c r="H15" s="2" t="s">
        <x:v>363</x:v>
      </x:c>
    </x:row>
    <x:row r="16" ht="27.600000381469727">
      <x:c r="A16" s="2">
        <x:v>4</x:v>
      </x:c>
      <x:c r="B16" s="2" t="s">
        <x:v>354</x:v>
      </x:c>
      <x:c r="C16" s="2" t="s">
        <x:v>355</x:v>
      </x:c>
      <x:c r="D16" s="2" t="s">
        <x:v>364</x:v>
      </x:c>
      <x:c r="E16" s="2" t="s">
        <x:v>365</x:v>
      </x:c>
      <x:c r="F16" s="2" t="s">
        <x:v>366</x:v>
      </x:c>
      <x:c r="G16" s="2" t="s">
        <x:v>1</x:v>
      </x:c>
      <x:c r="H16" s="2" t="s">
        <x:v>367</x:v>
      </x:c>
    </x:row>
    <x:row r="17" ht="27.600000381469727">
      <x:c r="A17" s="2">
        <x:v>3</x:v>
      </x:c>
      <x:c r="B17" s="2" t="s">
        <x:v>368</x:v>
      </x:c>
      <x:c r="C17" s="2" t="s">
        <x:v>369</x:v>
      </x:c>
      <x:c r="D17" s="2" t="s">
        <x:v>370</x:v>
      </x:c>
      <x:c r="E17" s="2" t="s">
        <x:v>371</x:v>
      </x:c>
      <x:c r="F17" s="2" t="s">
        <x:v>372</x:v>
      </x:c>
      <x:c r="G17" s="2" t="s">
        <x:v>1</x:v>
      </x:c>
      <x:c r="H17" s="2" t="s">
        <x:v>373</x:v>
      </x:c>
    </x:row>
    <x:row r="18" ht="27.600000381469727">
      <x:c r="A18" s="2">
        <x:v>3</x:v>
      </x:c>
      <x:c r="B18" s="2" t="s">
        <x:v>368</x:v>
      </x:c>
      <x:c r="C18" s="2" t="s">
        <x:v>369</x:v>
      </x:c>
      <x:c r="D18" s="2" t="s">
        <x:v>374</x:v>
      </x:c>
      <x:c r="E18" s="2" t="s">
        <x:v>375</x:v>
      </x:c>
      <x:c r="F18" s="2" t="s">
        <x:v>376</x:v>
      </x:c>
      <x:c r="G18" s="2" t="s">
        <x:v>1</x:v>
      </x:c>
      <x:c r="H18" s="2" t="s">
        <x:v>377</x:v>
      </x:c>
    </x:row>
    <x:row r="19" ht="27.600000381469727">
      <x:c r="A19" s="2">
        <x:v>3</x:v>
      </x:c>
      <x:c r="B19" s="2" t="s">
        <x:v>368</x:v>
      </x:c>
      <x:c r="C19" s="2" t="s">
        <x:v>369</x:v>
      </x:c>
      <x:c r="D19" s="2" t="s">
        <x:v>378</x:v>
      </x:c>
      <x:c r="E19" s="2" t="s">
        <x:v>379</x:v>
      </x:c>
      <x:c r="F19" s="2" t="s">
        <x:v>380</x:v>
      </x:c>
      <x:c r="G19" s="2" t="s">
        <x:v>1</x:v>
      </x:c>
      <x:c r="H19" s="2" t="s">
        <x:v>381</x:v>
      </x:c>
    </x:row>
    <x:row r="20" ht="27.600000381469727">
      <x:c r="A20" s="2">
        <x:v>3</x:v>
      </x:c>
      <x:c r="B20" s="2" t="s">
        <x:v>368</x:v>
      </x:c>
      <x:c r="C20" s="2" t="s">
        <x:v>369</x:v>
      </x:c>
      <x:c r="D20" s="2" t="s">
        <x:v>382</x:v>
      </x:c>
      <x:c r="E20" s="2" t="s">
        <x:v>383</x:v>
      </x:c>
      <x:c r="F20" s="2" t="s">
        <x:v>384</x:v>
      </x:c>
      <x:c r="G20" s="2" t="s">
        <x:v>1</x:v>
      </x:c>
      <x:c r="H20" s="2" t="s">
        <x:v>385</x:v>
      </x:c>
    </x:row>
    <x:row r="21" ht="27.600000381469727">
      <x:c r="A21" s="2">
        <x:v>3</x:v>
      </x:c>
      <x:c r="B21" s="2" t="s">
        <x:v>368</x:v>
      </x:c>
      <x:c r="C21" s="2" t="s">
        <x:v>369</x:v>
      </x:c>
      <x:c r="D21" s="2" t="s">
        <x:v>386</x:v>
      </x:c>
      <x:c r="E21" s="2" t="s">
        <x:v>387</x:v>
      </x:c>
      <x:c r="F21" s="2" t="s">
        <x:v>388</x:v>
      </x:c>
      <x:c r="G21" s="2" t="s">
        <x:v>1</x:v>
      </x:c>
      <x:c r="H21" s="2" t="s">
        <x:v>389</x:v>
      </x:c>
    </x:row>
    <x:row r="22" ht="27.600000381469727">
      <x:c r="A22" s="2">
        <x:v>2</x:v>
      </x:c>
      <x:c r="B22" s="2" t="s">
        <x:v>390</x:v>
      </x:c>
      <x:c r="C22" s="2" t="s">
        <x:v>391</x:v>
      </x:c>
      <x:c r="D22" s="2" t="s">
        <x:v>392</x:v>
      </x:c>
      <x:c r="E22" s="2" t="s">
        <x:v>393</x:v>
      </x:c>
      <x:c r="F22" s="2" t="s">
        <x:v>394</x:v>
      </x:c>
      <x:c r="G22" s="2" t="s">
        <x:v>2</x:v>
      </x:c>
      <x:c r="H22" s="2" t="s">
        <x:v>395</x:v>
      </x:c>
    </x:row>
    <x:row r="23" ht="27.600000381469727">
      <x:c r="A23" s="2">
        <x:v>2</x:v>
      </x:c>
      <x:c r="B23" s="2" t="s">
        <x:v>390</x:v>
      </x:c>
      <x:c r="C23" s="2" t="s">
        <x:v>391</x:v>
      </x:c>
      <x:c r="D23" s="2" t="s">
        <x:v>396</x:v>
      </x:c>
      <x:c r="E23" s="2" t="s">
        <x:v>397</x:v>
      </x:c>
      <x:c r="F23" s="2" t="s">
        <x:v>398</x:v>
      </x:c>
      <x:c r="G23" s="2" t="s">
        <x:v>2</x:v>
      </x:c>
      <x:c r="H23" s="2" t="s">
        <x:v>399</x:v>
      </x:c>
    </x:row>
    <x:row r="24" ht="27.600000381469727">
      <x:c r="A24" s="2">
        <x:v>2</x:v>
      </x:c>
      <x:c r="B24" s="2" t="s">
        <x:v>390</x:v>
      </x:c>
      <x:c r="C24" s="2" t="s">
        <x:v>391</x:v>
      </x:c>
      <x:c r="D24" s="2" t="s">
        <x:v>400</x:v>
      </x:c>
      <x:c r="E24" s="2" t="s">
        <x:v>401</x:v>
      </x:c>
      <x:c r="F24" s="2" t="s">
        <x:v>402</x:v>
      </x:c>
      <x:c r="G24" s="2" t="s">
        <x:v>1</x:v>
      </x:c>
      <x:c r="H24" s="2" t="s">
        <x:v>403</x:v>
      </x:c>
    </x:row>
    <x:row r="25" ht="27.600000381469727">
      <x:c r="A25" s="2">
        <x:v>2</x:v>
      </x:c>
      <x:c r="B25" s="2" t="s">
        <x:v>390</x:v>
      </x:c>
      <x:c r="C25" s="2" t="s">
        <x:v>391</x:v>
      </x:c>
      <x:c r="D25" s="2" t="s">
        <x:v>404</x:v>
      </x:c>
      <x:c r="E25" s="2" t="s">
        <x:v>405</x:v>
      </x:c>
      <x:c r="F25" s="2" t="s">
        <x:v>406</x:v>
      </x:c>
      <x:c r="G25" s="2" t="s">
        <x:v>2</x:v>
      </x:c>
      <x:c r="H25" s="2" t="s">
        <x:v>407</x:v>
      </x:c>
    </x:row>
    <x:row r="26" ht="41.400001525878906">
      <x:c r="A26" s="2">
        <x:v>2</x:v>
      </x:c>
      <x:c r="B26" s="2" t="s">
        <x:v>390</x:v>
      </x:c>
      <x:c r="C26" s="2" t="s">
        <x:v>391</x:v>
      </x:c>
      <x:c r="D26" s="2" t="s">
        <x:v>408</x:v>
      </x:c>
      <x:c r="E26" s="2" t="s">
        <x:v>409</x:v>
      </x:c>
      <x:c r="F26" s="2" t="s">
        <x:v>410</x:v>
      </x:c>
      <x:c r="G26" s="2" t="s">
        <x:v>1</x:v>
      </x:c>
      <x:c r="H26" s="2" t="s">
        <x:v>411</x:v>
      </x:c>
    </x:row>
    <x:row r="27" ht="27.600000381469727">
      <x:c r="A27" s="2">
        <x:v>2</x:v>
      </x:c>
      <x:c r="B27" s="2" t="s">
        <x:v>390</x:v>
      </x:c>
      <x:c r="C27" s="2" t="s">
        <x:v>391</x:v>
      </x:c>
      <x:c r="D27" s="2" t="s">
        <x:v>412</x:v>
      </x:c>
      <x:c r="E27" s="2" t="s">
        <x:v>413</x:v>
      </x:c>
      <x:c r="F27" s="2" t="s">
        <x:v>414</x:v>
      </x:c>
      <x:c r="G27" s="2" t="s">
        <x:v>2</x:v>
      </x:c>
      <x:c r="H27" s="2" t="s">
        <x:v>415</x:v>
      </x:c>
    </x:row>
    <x:row r="28" ht="27.600000381469727">
      <x:c r="A28" s="2">
        <x:v>1</x:v>
      </x:c>
      <x:c r="B28" s="2" t="s">
        <x:v>416</x:v>
      </x:c>
      <x:c r="C28" s="2" t="s">
        <x:v>417</x:v>
      </x:c>
      <x:c r="D28" s="2" t="s">
        <x:v>418</x:v>
      </x:c>
      <x:c r="E28" s="2" t="s">
        <x:v>419</x:v>
      </x:c>
      <x:c r="F28" s="2" t="s">
        <x:v>420</x:v>
      </x:c>
      <x:c r="G28" s="2" t="s">
        <x:v>3</x:v>
      </x:c>
      <x:c r="H28" s="2" t="s">
        <x:v>421</x:v>
      </x:c>
    </x:row>
    <x:row r="29" ht="41.400001525878906">
      <x:c r="A29" s="2">
        <x:v>1</x:v>
      </x:c>
      <x:c r="B29" s="2" t="s">
        <x:v>416</x:v>
      </x:c>
      <x:c r="C29" s="2" t="s">
        <x:v>417</x:v>
      </x:c>
      <x:c r="D29" s="2" t="s">
        <x:v>422</x:v>
      </x:c>
      <x:c r="E29" s="2" t="s">
        <x:v>423</x:v>
      </x:c>
      <x:c r="F29" s="2" t="s">
        <x:v>424</x:v>
      </x:c>
      <x:c r="G29" s="2" t="s">
        <x:v>2</x:v>
      </x:c>
      <x:c r="H29" s="2" t="s">
        <x:v>425</x:v>
      </x:c>
    </x:row>
    <x:row r="30" ht="41.400001525878906">
      <x:c r="A30" s="2">
        <x:v>1</x:v>
      </x:c>
      <x:c r="B30" s="2" t="s">
        <x:v>416</x:v>
      </x:c>
      <x:c r="C30" s="2" t="s">
        <x:v>417</x:v>
      </x:c>
      <x:c r="D30" s="2" t="s">
        <x:v>426</x:v>
      </x:c>
      <x:c r="E30" s="2" t="s">
        <x:v>427</x:v>
      </x:c>
      <x:c r="F30" s="2" t="s">
        <x:v>428</x:v>
      </x:c>
      <x:c r="G30" s="2" t="s">
        <x:v>3</x:v>
      </x:c>
      <x:c r="H30" s="2" t="s">
        <x:v>429</x:v>
      </x:c>
    </x:row>
  </x:sheetData>
  <x:mergeCells>
    <x:mergeCell ref="A1:H1"/>
    <x:mergeCell ref="A2:H2"/>
  </x:mergeCells>
  <x:conditionalFormatting sqref="G5:G30">
    <x:cfRule type="expression" dxfId="37" priority="1">
      <x:formula>G5="HOT"</x:formula>
    </x:cfRule>
    <x:cfRule type="expression" dxfId="36" priority="2">
      <x:formula>G5="WARM"</x:formula>
    </x:cfRule>
    <x:cfRule type="expression" dxfId="35" priority="3">
      <x:formula>G5="COLD"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c92b507d844983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8" customWidth="1"/>
    <x:col min="2" max="2" width="14" customWidth="1"/>
    <x:col min="3" max="3" width="42" customWidth="1"/>
    <x:col min="4" max="4" width="44" customWidth="1"/>
    <x:col min="5" max="5" width="32" customWidth="1"/>
    <x:col min="6" max="6" width="16" customWidth="1"/>
  </x:cols>
  <x:sheetData>
    <x:row r="1" ht="21">
      <x:c r="A1" s="41" t="s">
        <x:v>430</x:v>
      </x:c>
      <x:c r="B1" s="41"/>
      <x:c r="C1" s="41"/>
      <x:c r="D1" s="41"/>
      <x:c r="E1" s="41"/>
      <x:c r="F1" s="41"/>
    </x:row>
    <x:row r="2" ht="14.399999618530273">
      <x:c r="A2" s="43" t="s">
        <x:v>431</x:v>
      </x:c>
      <x:c r="B2" s="43"/>
      <x:c r="C2" s="43"/>
      <x:c r="D2" s="43"/>
      <x:c r="E2" s="43"/>
      <x:c r="F2" s="43"/>
    </x:row>
    <x:row r="3">
      <x:c r="A3" s="1" t="s">
        <x:v>432</x:v>
      </x:c>
      <x:c r="B3" s="1" t="s">
        <x:v>433</x:v>
      </x:c>
      <x:c r="C3" s="1" t="s">
        <x:v>434</x:v>
      </x:c>
      <x:c r="D3" s="1" t="s">
        <x:v>435</x:v>
      </x:c>
      <x:c r="E3" s="1" t="s">
        <x:v>436</x:v>
      </x:c>
      <x:c r="F3" s="1" t="s">
        <x:v>437</x:v>
      </x:c>
    </x:row>
    <x:row r="4" ht="27.600000381469727">
      <x:c r="A4" s="2" t="s">
        <x:v>438</x:v>
      </x:c>
      <x:c r="B4" s="2">
        <x:v>25</x:v>
      </x:c>
      <x:c r="C4" s="2" t="s">
        <x:v>439</x:v>
      </x:c>
      <x:c r="D4" s="2" t="s">
        <x:v>440</x:v>
      </x:c>
      <x:c r="E4" s="2" t="s">
        <x:v>441</x:v>
      </x:c>
      <x:c r="F4" s="2" t="s">
        <x:v>442</x:v>
      </x:c>
    </x:row>
    <x:row r="5" ht="27.600000381469727">
      <x:c r="A5" s="2" t="s">
        <x:v>443</x:v>
      </x:c>
      <x:c r="B5" s="2">
        <x:v>20</x:v>
      </x:c>
      <x:c r="C5" s="2" t="s">
        <x:v>444</x:v>
      </x:c>
      <x:c r="D5" s="2" t="s">
        <x:v>445</x:v>
      </x:c>
      <x:c r="E5" s="2" t="s">
        <x:v>446</x:v>
      </x:c>
      <x:c r="F5" s="2" t="s">
        <x:v>442</x:v>
      </x:c>
    </x:row>
    <x:row r="6" ht="27.600000381469727">
      <x:c r="A6" s="2" t="s">
        <x:v>447</x:v>
      </x:c>
      <x:c r="B6" s="2">
        <x:v>15</x:v>
      </x:c>
      <x:c r="C6" s="2" t="s">
        <x:v>448</x:v>
      </x:c>
      <x:c r="D6" s="2" t="s">
        <x:v>449</x:v>
      </x:c>
      <x:c r="E6" s="2" t="s">
        <x:v>450</x:v>
      </x:c>
      <x:c r="F6" s="2" t="s">
        <x:v>442</x:v>
      </x:c>
    </x:row>
    <x:row r="7" ht="41.400001525878906">
      <x:c r="A7" s="2" t="s">
        <x:v>451</x:v>
      </x:c>
      <x:c r="B7" s="2">
        <x:v>20</x:v>
      </x:c>
      <x:c r="C7" s="2" t="s">
        <x:v>452</x:v>
      </x:c>
      <x:c r="D7" s="2" t="s">
        <x:v>453</x:v>
      </x:c>
      <x:c r="E7" s="2" t="s">
        <x:v>454</x:v>
      </x:c>
      <x:c r="F7" s="2" t="s">
        <x:v>455</x:v>
      </x:c>
    </x:row>
    <x:row r="8" ht="27.600000381469727">
      <x:c r="A8" s="2" t="s">
        <x:v>456</x:v>
      </x:c>
      <x:c r="B8" s="2">
        <x:v>10</x:v>
      </x:c>
      <x:c r="C8" s="2" t="s">
        <x:v>457</x:v>
      </x:c>
      <x:c r="D8" s="2" t="s">
        <x:v>458</x:v>
      </x:c>
      <x:c r="E8" s="2" t="s">
        <x:v>459</x:v>
      </x:c>
      <x:c r="F8" s="2" t="s">
        <x:v>455</x:v>
      </x:c>
    </x:row>
    <x:row r="9" ht="27.600000381469727">
      <x:c r="A9" s="2" t="s">
        <x:v>460</x:v>
      </x:c>
      <x:c r="B9" s="2">
        <x:v>10</x:v>
      </x:c>
      <x:c r="C9" s="2" t="s">
        <x:v>461</x:v>
      </x:c>
      <x:c r="D9" s="2" t="s">
        <x:v>462</x:v>
      </x:c>
      <x:c r="E9" s="2" t="s">
        <x:v>463</x:v>
      </x:c>
      <x:c r="F9" s="2" t="s">
        <x:v>455</x:v>
      </x:c>
    </x:row>
    <x:row r="10">
      <x:c r="A10" s="2"/>
      <x:c r="B10" s="2"/>
      <x:c r="C10" s="2"/>
      <x:c r="D10" s="2"/>
      <x:c r="E10" s="2"/>
      <x:c r="F10" s="2"/>
    </x:row>
    <x:row r="11">
      <x:c r="A11" s="1" t="s">
        <x:v>22</x:v>
      </x:c>
      <x:c r="B11" s="1" t="s">
        <x:v>464</x:v>
      </x:c>
      <x:c r="C11" s="1" t="s">
        <x:v>465</x:v>
      </x:c>
      <x:c r="D11" s="2"/>
      <x:c r="E11" s="2"/>
      <x:c r="F11" s="2"/>
    </x:row>
    <x:row r="12" ht="27.600000381469727">
      <x:c r="A12" s="8" t="s">
        <x:v>1</x:v>
      </x:c>
      <x:c r="B12" s="8" t="s">
        <x:v>466</x:v>
      </x:c>
      <x:c r="C12" s="8" t="s">
        <x:v>467</x:v>
      </x:c>
      <x:c r="D12" s="2"/>
      <x:c r="E12" s="2"/>
      <x:c r="F12" s="2"/>
    </x:row>
    <x:row r="13" ht="27.600000381469727">
      <x:c r="A13" s="9" t="s">
        <x:v>2</x:v>
      </x:c>
      <x:c r="B13" s="9" t="s">
        <x:v>468</x:v>
      </x:c>
      <x:c r="C13" s="9" t="s">
        <x:v>469</x:v>
      </x:c>
      <x:c r="D13" s="2"/>
      <x:c r="E13" s="2"/>
      <x:c r="F13" s="2"/>
    </x:row>
    <x:row r="14" ht="27.600000381469727">
      <x:c r="A14" s="10" t="s">
        <x:v>3</x:v>
      </x:c>
      <x:c r="B14" s="10" t="s">
        <x:v>470</x:v>
      </x:c>
      <x:c r="C14" s="10" t="s">
        <x:v>471</x:v>
      </x:c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1" t="s">
        <x:v>472</x:v>
      </x:c>
      <x:c r="B16" s="1" t="s">
        <x:v>310</x:v>
      </x:c>
      <x:c r="C16" s="1" t="s">
        <x:v>473</x:v>
      </x:c>
      <x:c r="D16" s="1" t="s">
        <x:v>474</x:v>
      </x:c>
      <x:c r="E16" s="2"/>
      <x:c r="F16" s="2"/>
    </x:row>
    <x:row r="17" ht="27.600000381469727">
      <x:c r="A17" s="2">
        <x:v>2</x:v>
      </x:c>
      <x:c r="B17" s="2" t="s">
        <x:v>475</x:v>
      </x:c>
      <x:c r="C17" s="2" t="s">
        <x:v>476</x:v>
      </x:c>
      <x:c r="D17" s="2" t="s">
        <x:v>477</x:v>
      </x:c>
      <x:c r="E17" s="2"/>
      <x:c r="F17" s="2"/>
    </x:row>
    <x:row r="18" ht="27.600000381469727">
      <x:c r="A18" s="2">
        <x:v>3</x:v>
      </x:c>
      <x:c r="B18" s="2" t="s">
        <x:v>478</x:v>
      </x:c>
      <x:c r="C18" s="2" t="s">
        <x:v>479</x:v>
      </x:c>
      <x:c r="D18" s="2" t="s">
        <x:v>480</x:v>
      </x:c>
      <x:c r="E18" s="2"/>
      <x:c r="F18" s="2"/>
    </x:row>
    <x:row r="19">
      <x:c r="A19" s="2">
        <x:v>4</x:v>
      </x:c>
      <x:c r="B19" s="2" t="s">
        <x:v>481</x:v>
      </x:c>
      <x:c r="C19" s="2" t="s">
        <x:v>482</x:v>
      </x:c>
      <x:c r="D19" s="2" t="s">
        <x:v>483</x:v>
      </x:c>
      <x:c r="E19" s="2"/>
      <x:c r="F19" s="2"/>
    </x:row>
    <x:row r="20">
      <x:c r="A20" s="2">
        <x:v>5</x:v>
      </x:c>
      <x:c r="B20" s="2" t="s">
        <x:v>484</x:v>
      </x:c>
      <x:c r="C20" s="2" t="s">
        <x:v>485</x:v>
      </x:c>
      <x:c r="D20" s="2" t="s">
        <x:v>486</x:v>
      </x:c>
      <x:c r="E20" s="2"/>
      <x:c r="F20" s="2"/>
    </x:row>
    <x:row r="21" ht="27.600000381469727">
      <x:c r="A21" s="2">
        <x:v>1</x:v>
      </x:c>
      <x:c r="B21" s="2" t="s">
        <x:v>487</x:v>
      </x:c>
      <x:c r="C21" s="2" t="s">
        <x:v>488</x:v>
      </x:c>
      <x:c r="D21" s="2" t="s">
        <x:v>489</x:v>
      </x:c>
      <x:c r="E21" s="2"/>
      <x:c r="F21" s="2"/>
    </x:row>
    <x:row r="23" ht="21">
      <x:c r="A23" s="42" t="s">
        <x:v>490</x:v>
      </x:c>
      <x:c r="B23" s="42"/>
      <x:c r="C23" s="42"/>
      <x:c r="D23" s="42"/>
      <x:c r="E23" s="42"/>
      <x:c r="F23" s="42"/>
    </x:row>
    <x:row r="24">
      <x:c r="A24" s="11" t="s">
        <x:v>491</x:v>
      </x:c>
      <x:c r="B24" s="11" t="s">
        <x:v>492</x:v>
      </x:c>
      <x:c r="C24" s="11" t="s">
        <x:v>493</x:v>
      </x:c>
      <x:c r="D24" s="11" t="s">
        <x:v>494</x:v>
      </x:c>
      <x:c r="E24" s="11" t="s">
        <x:v>495</x:v>
      </x:c>
      <x:c r="F24" s="11" t="s">
        <x:v>496</x:v>
      </x:c>
    </x:row>
    <x:row r="25" ht="27.600000381469727">
      <x:c r="A25" s="2" t="s">
        <x:v>497</x:v>
      </x:c>
      <x:c r="B25" s="12">
        <x:v>0.45</x:v>
      </x:c>
      <x:c r="C25" s="2" t="s">
        <x:v>498</x:v>
      </x:c>
      <x:c r="D25" s="2" t="s">
        <x:v>499</x:v>
      </x:c>
      <x:c r="E25" s="2" t="s">
        <x:v>500</x:v>
      </x:c>
      <x:c r="F25" s="2" t="s">
        <x:v>501</x:v>
      </x:c>
    </x:row>
    <x:row r="26" ht="27.600000381469727">
      <x:c r="A26" s="2" t="s">
        <x:v>502</x:v>
      </x:c>
      <x:c r="B26" s="12">
        <x:v>0.4</x:v>
      </x:c>
      <x:c r="C26" s="2" t="s">
        <x:v>503</x:v>
      </x:c>
      <x:c r="D26" s="2" t="s">
        <x:v>504</x:v>
      </x:c>
      <x:c r="E26" s="2" t="s">
        <x:v>505</x:v>
      </x:c>
      <x:c r="F26" s="2" t="s">
        <x:v>501</x:v>
      </x:c>
    </x:row>
    <x:row r="27" ht="27.600000381469727">
      <x:c r="A27" s="2" t="s">
        <x:v>506</x:v>
      </x:c>
      <x:c r="B27" s="12">
        <x:v>0.15</x:v>
      </x:c>
      <x:c r="C27" s="2" t="s">
        <x:v>507</x:v>
      </x:c>
      <x:c r="D27" s="2" t="s">
        <x:v>508</x:v>
      </x:c>
      <x:c r="E27" s="2" t="s">
        <x:v>509</x:v>
      </x:c>
      <x:c r="F27" s="2" t="s">
        <x:v>510</x:v>
      </x:c>
    </x:row>
    <x:row r="28">
      <x:c r="A28" s="11" t="s">
        <x:v>511</x:v>
      </x:c>
      <x:c r="B28" s="11" t="s">
        <x:v>512</x:v>
      </x:c>
      <x:c r="C28" s="11" t="s">
        <x:v>465</x:v>
      </x:c>
      <x:c r="D28" s="11"/>
      <x:c r="E28" s="11"/>
      <x:c r="F28" s="11"/>
    </x:row>
    <x:row r="29" ht="55.20000076293945">
      <x:c r="A29" s="2" t="s">
        <x:v>513</x:v>
      </x:c>
      <x:c r="B29" s="2" t="s">
        <x:v>514</x:v>
      </x:c>
      <x:c r="C29" s="2" t="s">
        <x:v>515</x:v>
      </x:c>
      <x:c r="D29" s="2"/>
      <x:c r="E29" s="2"/>
      <x:c r="F29" s="2"/>
    </x:row>
  </x:sheetData>
  <x:mergeCells>
    <x:mergeCell ref="A1:F1"/>
    <x:mergeCell ref="A23:F23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8" customWidth="1"/>
    <x:col min="3" max="3" width="22" customWidth="1"/>
    <x:col min="4" max="4" width="33" customWidth="1"/>
    <x:col min="5" max="6" width="12" customWidth="1"/>
    <x:col min="7" max="7" width="10" customWidth="1"/>
    <x:col min="8" max="8" width="22" customWidth="1"/>
    <x:col min="9" max="9" width="33" customWidth="1"/>
    <x:col min="10" max="12" width="13" customWidth="1"/>
    <x:col min="13" max="14" width="12" customWidth="1"/>
    <x:col min="15" max="15" width="48" customWidth="1"/>
  </x:cols>
  <x:sheetData>
    <x:row r="1" ht="21">
      <x:c r="A1" s="44" t="s">
        <x:v>516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</x:row>
    <x:row r="2" ht="14.399999618530273">
      <x:c r="A2" s="43" t="s">
        <x:v>517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</x:row>
    <x:row r="4" ht="27.600000381469727">
      <x:c r="A4" s="36" t="s">
        <x:v>518</x:v>
      </x:c>
      <x:c r="B4" s="36" t="s">
        <x:v>519</x:v>
      </x:c>
      <x:c r="C4" s="36" t="s">
        <x:v>312</x:v>
      </x:c>
      <x:c r="D4" s="36" t="s">
        <x:v>520</x:v>
      </x:c>
      <x:c r="E4" s="36" t="s">
        <x:v>521</x:v>
      </x:c>
      <x:c r="F4" s="36" t="s">
        <x:v>522</x:v>
      </x:c>
      <x:c r="G4" s="36" t="s">
        <x:v>5</x:v>
      </x:c>
      <x:c r="H4" s="36" t="s">
        <x:v>523</x:v>
      </x:c>
      <x:c r="I4" s="36" t="s">
        <x:v>12</x:v>
      </x:c>
      <x:c r="J4" s="36" t="s">
        <x:v>497</x:v>
      </x:c>
      <x:c r="K4" s="36" t="s">
        <x:v>524</x:v>
      </x:c>
      <x:c r="L4" s="36" t="s">
        <x:v>525</x:v>
      </x:c>
      <x:c r="M4" s="36" t="s">
        <x:v>526</x:v>
      </x:c>
      <x:c r="N4" s="36" t="s">
        <x:v>511</x:v>
      </x:c>
      <x:c r="O4" s="36" t="s">
        <x:v>527</x:v>
      </x:c>
    </x:row>
    <x:row r="5" ht="55.20000076293945">
      <x:c r="A5" s="2">
        <x:v>1</x:v>
      </x:c>
      <x:c r="B5" s="2">
        <x:v>3</x:v>
      </x:c>
      <x:c r="C5" s="2" t="s">
        <x:v>370</x:v>
      </x:c>
      <x:c r="D5" s="2" t="s">
        <x:v>371</x:v>
      </x:c>
      <x:c r="E5" s="2" t="s">
        <x:v>1</x:v>
      </x:c>
      <x:c r="F5" s="2">
        <x:v>1</x:v>
      </x:c>
      <x:c r="G5" s="2" t="s">
        <x:v>145</x:v>
      </x:c>
      <x:c r="H5" s="2" t="s">
        <x:v>146</x:v>
      </x:c>
      <x:c r="I5" s="2" t="s">
        <x:v>148</x:v>
      </x:c>
      <x:c r="J5" s="2">
        <x:v>94</x:v>
      </x:c>
      <x:c r="K5" s="2">
        <x:v>100</x:v>
      </x:c>
      <x:c r="L5" s="2">
        <x:v>90</x:v>
      </x:c>
      <x:c r="M5" s="2" t="n">
        <x:f t="shared" ref="M5:M36" si="0">ROUND(J5*0.45+K5*0.4+L5*0.15,1)</x:f>
        <x:v>95.8</x:v>
      </x:c>
      <x:c r="N5" s="2" t="str">
        <x:f t="shared" ref="N5:N36" si="1">IF(M5&gt;=80,"HOT",IF(M5&gt;=60,"WARM","COLD"))</x:f>
        <x:v>HOT</x:v>
      </x:c>
      <x:c r="O5" s="2" t="s">
        <x:v>528</x:v>
      </x:c>
    </x:row>
    <x:row r="6" ht="55.20000076293945">
      <x:c r="A6" s="2">
        <x:v>1</x:v>
      </x:c>
      <x:c r="B6" s="2">
        <x:v>3</x:v>
      </x:c>
      <x:c r="C6" s="2" t="s">
        <x:v>370</x:v>
      </x:c>
      <x:c r="D6" s="2" t="s">
        <x:v>371</x:v>
      </x:c>
      <x:c r="E6" s="2" t="s">
        <x:v>1</x:v>
      </x:c>
      <x:c r="F6" s="2">
        <x:v>2</x:v>
      </x:c>
      <x:c r="G6" s="2" t="s">
        <x:v>136</x:v>
      </x:c>
      <x:c r="H6" s="2" t="s">
        <x:v>137</x:v>
      </x:c>
      <x:c r="I6" s="2" t="s">
        <x:v>139</x:v>
      </x:c>
      <x:c r="J6" s="2">
        <x:v>93</x:v>
      </x:c>
      <x:c r="K6" s="2">
        <x:v>100</x:v>
      </x:c>
      <x:c r="L6" s="2">
        <x:v>90</x:v>
      </x:c>
      <x:c r="M6" s="2">
        <x:f t="shared" si="0"/>
        <x:v>95.4</x:v>
      </x:c>
      <x:c r="N6" s="2" t="str">
        <x:f t="shared" si="1"/>
        <x:v>HOT</x:v>
      </x:c>
      <x:c r="O6" s="2" t="s">
        <x:v>529</x:v>
      </x:c>
    </x:row>
    <x:row r="7" ht="55.20000076293945">
      <x:c r="A7" s="2">
        <x:v>1</x:v>
      </x:c>
      <x:c r="B7" s="2">
        <x:v>3</x:v>
      </x:c>
      <x:c r="C7" s="2" t="s">
        <x:v>370</x:v>
      </x:c>
      <x:c r="D7" s="2" t="s">
        <x:v>371</x:v>
      </x:c>
      <x:c r="E7" s="2" t="s">
        <x:v>1</x:v>
      </x:c>
      <x:c r="F7" s="2">
        <x:v>3</x:v>
      </x:c>
      <x:c r="G7" s="2" t="s">
        <x:v>55</x:v>
      </x:c>
      <x:c r="H7" s="2" t="s">
        <x:v>56</x:v>
      </x:c>
      <x:c r="I7" s="2" t="s">
        <x:v>58</x:v>
      </x:c>
      <x:c r="J7" s="2">
        <x:v>90</x:v>
      </x:c>
      <x:c r="K7" s="2">
        <x:v>100</x:v>
      </x:c>
      <x:c r="L7" s="2">
        <x:v>90</x:v>
      </x:c>
      <x:c r="M7" s="2">
        <x:f t="shared" si="0"/>
        <x:v>94</x:v>
      </x:c>
      <x:c r="N7" s="2" t="str">
        <x:f t="shared" si="1"/>
        <x:v>HOT</x:v>
      </x:c>
      <x:c r="O7" s="2" t="s">
        <x:v>530</x:v>
      </x:c>
    </x:row>
    <x:row r="8" ht="55.20000076293945">
      <x:c r="A8" s="2">
        <x:v>2</x:v>
      </x:c>
      <x:c r="B8" s="2">
        <x:v>3</x:v>
      </x:c>
      <x:c r="C8" s="2" t="s">
        <x:v>374</x:v>
      </x:c>
      <x:c r="D8" s="2" t="s">
        <x:v>375</x:v>
      </x:c>
      <x:c r="E8" s="2" t="s">
        <x:v>1</x:v>
      </x:c>
      <x:c r="F8" s="2">
        <x:v>1</x:v>
      </x:c>
      <x:c r="G8" s="2" t="s">
        <x:v>145</x:v>
      </x:c>
      <x:c r="H8" s="2" t="s">
        <x:v>146</x:v>
      </x:c>
      <x:c r="I8" s="2" t="s">
        <x:v>148</x:v>
      </x:c>
      <x:c r="J8" s="2">
        <x:v>94</x:v>
      </x:c>
      <x:c r="K8" s="2">
        <x:v>100</x:v>
      </x:c>
      <x:c r="L8" s="2">
        <x:v>90</x:v>
      </x:c>
      <x:c r="M8" s="2">
        <x:f t="shared" si="0"/>
        <x:v>95.8</x:v>
      </x:c>
      <x:c r="N8" s="2" t="str">
        <x:f t="shared" si="1"/>
        <x:v>HOT</x:v>
      </x:c>
      <x:c r="O8" s="2" t="s">
        <x:v>528</x:v>
      </x:c>
    </x:row>
    <x:row r="9" ht="55.20000076293945">
      <x:c r="A9" s="2">
        <x:v>2</x:v>
      </x:c>
      <x:c r="B9" s="2">
        <x:v>3</x:v>
      </x:c>
      <x:c r="C9" s="2" t="s">
        <x:v>374</x:v>
      </x:c>
      <x:c r="D9" s="2" t="s">
        <x:v>375</x:v>
      </x:c>
      <x:c r="E9" s="2" t="s">
        <x:v>1</x:v>
      </x:c>
      <x:c r="F9" s="2">
        <x:v>2</x:v>
      </x:c>
      <x:c r="G9" s="2" t="s">
        <x:v>136</x:v>
      </x:c>
      <x:c r="H9" s="2" t="s">
        <x:v>137</x:v>
      </x:c>
      <x:c r="I9" s="2" t="s">
        <x:v>139</x:v>
      </x:c>
      <x:c r="J9" s="2">
        <x:v>93</x:v>
      </x:c>
      <x:c r="K9" s="2">
        <x:v>100</x:v>
      </x:c>
      <x:c r="L9" s="2">
        <x:v>90</x:v>
      </x:c>
      <x:c r="M9" s="2">
        <x:f t="shared" si="0"/>
        <x:v>95.4</x:v>
      </x:c>
      <x:c r="N9" s="2" t="str">
        <x:f t="shared" si="1"/>
        <x:v>HOT</x:v>
      </x:c>
      <x:c r="O9" s="2" t="s">
        <x:v>529</x:v>
      </x:c>
    </x:row>
    <x:row r="10" ht="55.20000076293945">
      <x:c r="A10" s="2">
        <x:v>2</x:v>
      </x:c>
      <x:c r="B10" s="2">
        <x:v>3</x:v>
      </x:c>
      <x:c r="C10" s="2" t="s">
        <x:v>374</x:v>
      </x:c>
      <x:c r="D10" s="2" t="s">
        <x:v>375</x:v>
      </x:c>
      <x:c r="E10" s="2" t="s">
        <x:v>1</x:v>
      </x:c>
      <x:c r="F10" s="2">
        <x:v>3</x:v>
      </x:c>
      <x:c r="G10" s="2" t="s">
        <x:v>190</x:v>
      </x:c>
      <x:c r="H10" s="2" t="s">
        <x:v>191</x:v>
      </x:c>
      <x:c r="I10" s="2" t="s">
        <x:v>193</x:v>
      </x:c>
      <x:c r="J10" s="2">
        <x:v>93</x:v>
      </x:c>
      <x:c r="K10" s="2">
        <x:v>100</x:v>
      </x:c>
      <x:c r="L10" s="2">
        <x:v>90</x:v>
      </x:c>
      <x:c r="M10" s="2">
        <x:f t="shared" si="0"/>
        <x:v>95.4</x:v>
      </x:c>
      <x:c r="N10" s="2" t="str">
        <x:f t="shared" si="1"/>
        <x:v>HOT</x:v>
      </x:c>
      <x:c r="O10" s="2" t="s">
        <x:v>531</x:v>
      </x:c>
    </x:row>
    <x:row r="11" ht="55.20000076293945">
      <x:c r="A11" s="2">
        <x:v>3</x:v>
      </x:c>
      <x:c r="B11" s="2">
        <x:v>3</x:v>
      </x:c>
      <x:c r="C11" s="2" t="s">
        <x:v>378</x:v>
      </x:c>
      <x:c r="D11" s="2" t="s">
        <x:v>379</x:v>
      </x:c>
      <x:c r="E11" s="2" t="s">
        <x:v>1</x:v>
      </x:c>
      <x:c r="F11" s="2">
        <x:v>1</x:v>
      </x:c>
      <x:c r="G11" s="2" t="s">
        <x:v>145</x:v>
      </x:c>
      <x:c r="H11" s="2" t="s">
        <x:v>146</x:v>
      </x:c>
      <x:c r="I11" s="2" t="s">
        <x:v>148</x:v>
      </x:c>
      <x:c r="J11" s="2">
        <x:v>94</x:v>
      </x:c>
      <x:c r="K11" s="2">
        <x:v>100</x:v>
      </x:c>
      <x:c r="L11" s="2">
        <x:v>90</x:v>
      </x:c>
      <x:c r="M11" s="2">
        <x:f t="shared" si="0"/>
        <x:v>95.8</x:v>
      </x:c>
      <x:c r="N11" s="2" t="str">
        <x:f t="shared" si="1"/>
        <x:v>HOT</x:v>
      </x:c>
      <x:c r="O11" s="2" t="s">
        <x:v>528</x:v>
      </x:c>
    </x:row>
    <x:row r="12" ht="55.20000076293945">
      <x:c r="A12" s="2">
        <x:v>3</x:v>
      </x:c>
      <x:c r="B12" s="2">
        <x:v>3</x:v>
      </x:c>
      <x:c r="C12" s="2" t="s">
        <x:v>378</x:v>
      </x:c>
      <x:c r="D12" s="2" t="s">
        <x:v>379</x:v>
      </x:c>
      <x:c r="E12" s="2" t="s">
        <x:v>1</x:v>
      </x:c>
      <x:c r="F12" s="2">
        <x:v>2</x:v>
      </x:c>
      <x:c r="G12" s="2" t="s">
        <x:v>136</x:v>
      </x:c>
      <x:c r="H12" s="2" t="s">
        <x:v>137</x:v>
      </x:c>
      <x:c r="I12" s="2" t="s">
        <x:v>139</x:v>
      </x:c>
      <x:c r="J12" s="2">
        <x:v>93</x:v>
      </x:c>
      <x:c r="K12" s="2">
        <x:v>100</x:v>
      </x:c>
      <x:c r="L12" s="2">
        <x:v>90</x:v>
      </x:c>
      <x:c r="M12" s="2">
        <x:f t="shared" si="0"/>
        <x:v>95.4</x:v>
      </x:c>
      <x:c r="N12" s="2" t="str">
        <x:f t="shared" si="1"/>
        <x:v>HOT</x:v>
      </x:c>
      <x:c r="O12" s="2" t="s">
        <x:v>529</x:v>
      </x:c>
    </x:row>
    <x:row r="13" ht="55.20000076293945">
      <x:c r="A13" s="2">
        <x:v>3</x:v>
      </x:c>
      <x:c r="B13" s="2">
        <x:v>3</x:v>
      </x:c>
      <x:c r="C13" s="2" t="s">
        <x:v>378</x:v>
      </x:c>
      <x:c r="D13" s="2" t="s">
        <x:v>379</x:v>
      </x:c>
      <x:c r="E13" s="2" t="s">
        <x:v>1</x:v>
      </x:c>
      <x:c r="F13" s="2">
        <x:v>3</x:v>
      </x:c>
      <x:c r="G13" s="2" t="s">
        <x:v>190</x:v>
      </x:c>
      <x:c r="H13" s="2" t="s">
        <x:v>191</x:v>
      </x:c>
      <x:c r="I13" s="2" t="s">
        <x:v>193</x:v>
      </x:c>
      <x:c r="J13" s="2">
        <x:v>93</x:v>
      </x:c>
      <x:c r="K13" s="2">
        <x:v>100</x:v>
      </x:c>
      <x:c r="L13" s="2">
        <x:v>90</x:v>
      </x:c>
      <x:c r="M13" s="2">
        <x:f t="shared" si="0"/>
        <x:v>95.4</x:v>
      </x:c>
      <x:c r="N13" s="2" t="str">
        <x:f t="shared" si="1"/>
        <x:v>HOT</x:v>
      </x:c>
      <x:c r="O13" s="2" t="s">
        <x:v>531</x:v>
      </x:c>
    </x:row>
    <x:row r="14" ht="55.20000076293945">
      <x:c r="A14" s="2">
        <x:v>4</x:v>
      </x:c>
      <x:c r="B14" s="2">
        <x:v>3</x:v>
      </x:c>
      <x:c r="C14" s="2" t="s">
        <x:v>382</x:v>
      </x:c>
      <x:c r="D14" s="2" t="s">
        <x:v>383</x:v>
      </x:c>
      <x:c r="E14" s="2" t="s">
        <x:v>1</x:v>
      </x:c>
      <x:c r="F14" s="2">
        <x:v>1</x:v>
      </x:c>
      <x:c r="G14" s="2" t="s">
        <x:v>145</x:v>
      </x:c>
      <x:c r="H14" s="2" t="s">
        <x:v>146</x:v>
      </x:c>
      <x:c r="I14" s="2" t="s">
        <x:v>148</x:v>
      </x:c>
      <x:c r="J14" s="2">
        <x:v>94</x:v>
      </x:c>
      <x:c r="K14" s="2">
        <x:v>100</x:v>
      </x:c>
      <x:c r="L14" s="2">
        <x:v>90</x:v>
      </x:c>
      <x:c r="M14" s="2">
        <x:f t="shared" si="0"/>
        <x:v>95.8</x:v>
      </x:c>
      <x:c r="N14" s="2" t="str">
        <x:f t="shared" si="1"/>
        <x:v>HOT</x:v>
      </x:c>
      <x:c r="O14" s="2" t="s">
        <x:v>528</x:v>
      </x:c>
    </x:row>
    <x:row r="15" ht="55.20000076293945">
      <x:c r="A15" s="2">
        <x:v>4</x:v>
      </x:c>
      <x:c r="B15" s="2">
        <x:v>3</x:v>
      </x:c>
      <x:c r="C15" s="2" t="s">
        <x:v>382</x:v>
      </x:c>
      <x:c r="D15" s="2" t="s">
        <x:v>383</x:v>
      </x:c>
      <x:c r="E15" s="2" t="s">
        <x:v>1</x:v>
      </x:c>
      <x:c r="F15" s="2">
        <x:v>2</x:v>
      </x:c>
      <x:c r="G15" s="2" t="s">
        <x:v>136</x:v>
      </x:c>
      <x:c r="H15" s="2" t="s">
        <x:v>137</x:v>
      </x:c>
      <x:c r="I15" s="2" t="s">
        <x:v>139</x:v>
      </x:c>
      <x:c r="J15" s="2">
        <x:v>93</x:v>
      </x:c>
      <x:c r="K15" s="2">
        <x:v>100</x:v>
      </x:c>
      <x:c r="L15" s="2">
        <x:v>90</x:v>
      </x:c>
      <x:c r="M15" s="2">
        <x:f t="shared" si="0"/>
        <x:v>95.4</x:v>
      </x:c>
      <x:c r="N15" s="2" t="str">
        <x:f t="shared" si="1"/>
        <x:v>HOT</x:v>
      </x:c>
      <x:c r="O15" s="2" t="s">
        <x:v>529</x:v>
      </x:c>
    </x:row>
    <x:row r="16" ht="55.20000076293945">
      <x:c r="A16" s="2">
        <x:v>4</x:v>
      </x:c>
      <x:c r="B16" s="2">
        <x:v>3</x:v>
      </x:c>
      <x:c r="C16" s="2" t="s">
        <x:v>382</x:v>
      </x:c>
      <x:c r="D16" s="2" t="s">
        <x:v>383</x:v>
      </x:c>
      <x:c r="E16" s="2" t="s">
        <x:v>1</x:v>
      </x:c>
      <x:c r="F16" s="2">
        <x:v>3</x:v>
      </x:c>
      <x:c r="G16" s="2" t="s">
        <x:v>190</x:v>
      </x:c>
      <x:c r="H16" s="2" t="s">
        <x:v>191</x:v>
      </x:c>
      <x:c r="I16" s="2" t="s">
        <x:v>193</x:v>
      </x:c>
      <x:c r="J16" s="2">
        <x:v>93</x:v>
      </x:c>
      <x:c r="K16" s="2">
        <x:v>100</x:v>
      </x:c>
      <x:c r="L16" s="2">
        <x:v>90</x:v>
      </x:c>
      <x:c r="M16" s="2">
        <x:f t="shared" si="0"/>
        <x:v>95.4</x:v>
      </x:c>
      <x:c r="N16" s="2" t="str">
        <x:f t="shared" si="1"/>
        <x:v>HOT</x:v>
      </x:c>
      <x:c r="O16" s="2" t="s">
        <x:v>531</x:v>
      </x:c>
    </x:row>
    <x:row r="17" ht="55.20000076293945">
      <x:c r="A17" s="2">
        <x:v>5</x:v>
      </x:c>
      <x:c r="B17" s="2">
        <x:v>3</x:v>
      </x:c>
      <x:c r="C17" s="2" t="s">
        <x:v>386</x:v>
      </x:c>
      <x:c r="D17" s="2" t="s">
        <x:v>387</x:v>
      </x:c>
      <x:c r="E17" s="2" t="s">
        <x:v>1</x:v>
      </x:c>
      <x:c r="F17" s="2">
        <x:v>1</x:v>
      </x:c>
      <x:c r="G17" s="2" t="s">
        <x:v>145</x:v>
      </x:c>
      <x:c r="H17" s="2" t="s">
        <x:v>146</x:v>
      </x:c>
      <x:c r="I17" s="2" t="s">
        <x:v>148</x:v>
      </x:c>
      <x:c r="J17" s="2">
        <x:v>94</x:v>
      </x:c>
      <x:c r="K17" s="2">
        <x:v>100</x:v>
      </x:c>
      <x:c r="L17" s="2">
        <x:v>90</x:v>
      </x:c>
      <x:c r="M17" s="2">
        <x:f t="shared" si="0"/>
        <x:v>95.8</x:v>
      </x:c>
      <x:c r="N17" s="2" t="str">
        <x:f t="shared" si="1"/>
        <x:v>HOT</x:v>
      </x:c>
      <x:c r="O17" s="2" t="s">
        <x:v>528</x:v>
      </x:c>
    </x:row>
    <x:row r="18" ht="55.20000076293945">
      <x:c r="A18" s="2">
        <x:v>5</x:v>
      </x:c>
      <x:c r="B18" s="2">
        <x:v>3</x:v>
      </x:c>
      <x:c r="C18" s="2" t="s">
        <x:v>386</x:v>
      </x:c>
      <x:c r="D18" s="2" t="s">
        <x:v>387</x:v>
      </x:c>
      <x:c r="E18" s="2" t="s">
        <x:v>1</x:v>
      </x:c>
      <x:c r="F18" s="2">
        <x:v>2</x:v>
      </x:c>
      <x:c r="G18" s="2" t="s">
        <x:v>136</x:v>
      </x:c>
      <x:c r="H18" s="2" t="s">
        <x:v>137</x:v>
      </x:c>
      <x:c r="I18" s="2" t="s">
        <x:v>139</x:v>
      </x:c>
      <x:c r="J18" s="2">
        <x:v>93</x:v>
      </x:c>
      <x:c r="K18" s="2">
        <x:v>100</x:v>
      </x:c>
      <x:c r="L18" s="2">
        <x:v>90</x:v>
      </x:c>
      <x:c r="M18" s="2">
        <x:f t="shared" si="0"/>
        <x:v>95.4</x:v>
      </x:c>
      <x:c r="N18" s="2" t="str">
        <x:f t="shared" si="1"/>
        <x:v>HOT</x:v>
      </x:c>
      <x:c r="O18" s="2" t="s">
        <x:v>529</x:v>
      </x:c>
    </x:row>
    <x:row r="19" ht="55.20000076293945">
      <x:c r="A19" s="2">
        <x:v>5</x:v>
      </x:c>
      <x:c r="B19" s="2">
        <x:v>3</x:v>
      </x:c>
      <x:c r="C19" s="2" t="s">
        <x:v>386</x:v>
      </x:c>
      <x:c r="D19" s="2" t="s">
        <x:v>387</x:v>
      </x:c>
      <x:c r="E19" s="2" t="s">
        <x:v>1</x:v>
      </x:c>
      <x:c r="F19" s="2">
        <x:v>3</x:v>
      </x:c>
      <x:c r="G19" s="2" t="s">
        <x:v>190</x:v>
      </x:c>
      <x:c r="H19" s="2" t="s">
        <x:v>191</x:v>
      </x:c>
      <x:c r="I19" s="2" t="s">
        <x:v>193</x:v>
      </x:c>
      <x:c r="J19" s="2">
        <x:v>93</x:v>
      </x:c>
      <x:c r="K19" s="2">
        <x:v>100</x:v>
      </x:c>
      <x:c r="L19" s="2">
        <x:v>90</x:v>
      </x:c>
      <x:c r="M19" s="2">
        <x:f t="shared" si="0"/>
        <x:v>95.4</x:v>
      </x:c>
      <x:c r="N19" s="2" t="str">
        <x:f t="shared" si="1"/>
        <x:v>HOT</x:v>
      </x:c>
      <x:c r="O19" s="2" t="s">
        <x:v>531</x:v>
      </x:c>
    </x:row>
    <x:row r="20" ht="55.20000076293945">
      <x:c r="A20" s="2">
        <x:v>6</x:v>
      </x:c>
      <x:c r="B20" s="2">
        <x:v>2</x:v>
      </x:c>
      <x:c r="C20" s="2" t="s">
        <x:v>400</x:v>
      </x:c>
      <x:c r="D20" s="2" t="s">
        <x:v>401</x:v>
      </x:c>
      <x:c r="E20" s="2" t="s">
        <x:v>1</x:v>
      </x:c>
      <x:c r="F20" s="2">
        <x:v>1</x:v>
      </x:c>
      <x:c r="G20" s="2" t="s">
        <x:v>145</x:v>
      </x:c>
      <x:c r="H20" s="2" t="s">
        <x:v>146</x:v>
      </x:c>
      <x:c r="I20" s="2" t="s">
        <x:v>148</x:v>
      </x:c>
      <x:c r="J20" s="2">
        <x:v>94</x:v>
      </x:c>
      <x:c r="K20" s="2">
        <x:v>98</x:v>
      </x:c>
      <x:c r="L20" s="2">
        <x:v>90</x:v>
      </x:c>
      <x:c r="M20" s="2">
        <x:f t="shared" si="0"/>
        <x:v>95</x:v>
      </x:c>
      <x:c r="N20" s="2" t="str">
        <x:f t="shared" si="1"/>
        <x:v>HOT</x:v>
      </x:c>
      <x:c r="O20" s="2" t="s">
        <x:v>532</x:v>
      </x:c>
    </x:row>
    <x:row r="21" ht="55.20000076293945">
      <x:c r="A21" s="2">
        <x:v>6</x:v>
      </x:c>
      <x:c r="B21" s="2">
        <x:v>2</x:v>
      </x:c>
      <x:c r="C21" s="2" t="s">
        <x:v>400</x:v>
      </x:c>
      <x:c r="D21" s="2" t="s">
        <x:v>401</x:v>
      </x:c>
      <x:c r="E21" s="2" t="s">
        <x:v>1</x:v>
      </x:c>
      <x:c r="F21" s="2">
        <x:v>2</x:v>
      </x:c>
      <x:c r="G21" s="2" t="s">
        <x:v>262</x:v>
      </x:c>
      <x:c r="H21" s="2" t="s">
        <x:v>263</x:v>
      </x:c>
      <x:c r="I21" s="2" t="s">
        <x:v>265</x:v>
      </x:c>
      <x:c r="J21" s="2">
        <x:v>89</x:v>
      </x:c>
      <x:c r="K21" s="2">
        <x:v>100</x:v>
      </x:c>
      <x:c r="L21" s="2">
        <x:v>90</x:v>
      </x:c>
      <x:c r="M21" s="2">
        <x:f t="shared" si="0"/>
        <x:v>93.6</x:v>
      </x:c>
      <x:c r="N21" s="2" t="str">
        <x:f t="shared" si="1"/>
        <x:v>HOT</x:v>
      </x:c>
      <x:c r="O21" s="2" t="s">
        <x:v>533</x:v>
      </x:c>
    </x:row>
    <x:row r="22" ht="55.20000076293945">
      <x:c r="A22" s="2">
        <x:v>6</x:v>
      </x:c>
      <x:c r="B22" s="2">
        <x:v>2</x:v>
      </x:c>
      <x:c r="C22" s="2" t="s">
        <x:v>400</x:v>
      </x:c>
      <x:c r="D22" s="2" t="s">
        <x:v>401</x:v>
      </x:c>
      <x:c r="E22" s="2" t="s">
        <x:v>1</x:v>
      </x:c>
      <x:c r="F22" s="2">
        <x:v>3</x:v>
      </x:c>
      <x:c r="G22" s="2" t="s">
        <x:v>190</x:v>
      </x:c>
      <x:c r="H22" s="2" t="s">
        <x:v>191</x:v>
      </x:c>
      <x:c r="I22" s="2" t="s">
        <x:v>193</x:v>
      </x:c>
      <x:c r="J22" s="2">
        <x:v>93</x:v>
      </x:c>
      <x:c r="K22" s="2">
        <x:v>95</x:v>
      </x:c>
      <x:c r="L22" s="2">
        <x:v>90</x:v>
      </x:c>
      <x:c r="M22" s="2">
        <x:f t="shared" si="0"/>
        <x:v>93.4</x:v>
      </x:c>
      <x:c r="N22" s="2" t="str">
        <x:f t="shared" si="1"/>
        <x:v>HOT</x:v>
      </x:c>
      <x:c r="O22" s="2" t="s">
        <x:v>534</x:v>
      </x:c>
    </x:row>
    <x:row r="23" ht="55.20000076293945">
      <x:c r="A23" s="2">
        <x:v>7</x:v>
      </x:c>
      <x:c r="B23" s="2">
        <x:v>4</x:v>
      </x:c>
      <x:c r="C23" s="2" t="s">
        <x:v>360</x:v>
      </x:c>
      <x:c r="D23" s="2" t="s">
        <x:v>361</x:v>
      </x:c>
      <x:c r="E23" s="2" t="s">
        <x:v>1</x:v>
      </x:c>
      <x:c r="F23" s="2">
        <x:v>1</x:v>
      </x:c>
      <x:c r="G23" s="2" t="s">
        <x:v>136</x:v>
      </x:c>
      <x:c r="H23" s="2" t="s">
        <x:v>137</x:v>
      </x:c>
      <x:c r="I23" s="2" t="s">
        <x:v>139</x:v>
      </x:c>
      <x:c r="J23" s="2">
        <x:v>93</x:v>
      </x:c>
      <x:c r="K23" s="2">
        <x:v>98</x:v>
      </x:c>
      <x:c r="L23" s="2">
        <x:v>90</x:v>
      </x:c>
      <x:c r="M23" s="2">
        <x:f t="shared" si="0"/>
        <x:v>94.6</x:v>
      </x:c>
      <x:c r="N23" s="2" t="str">
        <x:f t="shared" si="1"/>
        <x:v>HOT</x:v>
      </x:c>
      <x:c r="O23" s="2" t="s">
        <x:v>535</x:v>
      </x:c>
    </x:row>
    <x:row r="24" ht="55.20000076293945">
      <x:c r="A24" s="2">
        <x:v>7</x:v>
      </x:c>
      <x:c r="B24" s="2">
        <x:v>4</x:v>
      </x:c>
      <x:c r="C24" s="2" t="s">
        <x:v>360</x:v>
      </x:c>
      <x:c r="D24" s="2" t="s">
        <x:v>361</x:v>
      </x:c>
      <x:c r="E24" s="2" t="s">
        <x:v>1</x:v>
      </x:c>
      <x:c r="F24" s="2">
        <x:v>2</x:v>
      </x:c>
      <x:c r="G24" s="2" t="s">
        <x:v>163</x:v>
      </x:c>
      <x:c r="H24" s="2" t="s">
        <x:v>164</x:v>
      </x:c>
      <x:c r="I24" s="2" t="s">
        <x:v>166</x:v>
      </x:c>
      <x:c r="J24" s="2">
        <x:v>90</x:v>
      </x:c>
      <x:c r="K24" s="2">
        <x:v>100</x:v>
      </x:c>
      <x:c r="L24" s="2">
        <x:v>90</x:v>
      </x:c>
      <x:c r="M24" s="2">
        <x:f t="shared" si="0"/>
        <x:v>94</x:v>
      </x:c>
      <x:c r="N24" s="2" t="str">
        <x:f t="shared" si="1"/>
        <x:v>HOT</x:v>
      </x:c>
      <x:c r="O24" s="2" t="s">
        <x:v>536</x:v>
      </x:c>
    </x:row>
    <x:row r="25" ht="55.20000076293945">
      <x:c r="A25" s="2">
        <x:v>7</x:v>
      </x:c>
      <x:c r="B25" s="2">
        <x:v>4</x:v>
      </x:c>
      <x:c r="C25" s="2" t="s">
        <x:v>360</x:v>
      </x:c>
      <x:c r="D25" s="2" t="s">
        <x:v>361</x:v>
      </x:c>
      <x:c r="E25" s="2" t="s">
        <x:v>1</x:v>
      </x:c>
      <x:c r="F25" s="2">
        <x:v>3</x:v>
      </x:c>
      <x:c r="G25" s="2" t="s">
        <x:v>109</x:v>
      </x:c>
      <x:c r="H25" s="2" t="s">
        <x:v>110</x:v>
      </x:c>
      <x:c r="I25" s="2" t="s">
        <x:v>112</x:v>
      </x:c>
      <x:c r="J25" s="2">
        <x:v>89</x:v>
      </x:c>
      <x:c r="K25" s="2">
        <x:v>100</x:v>
      </x:c>
      <x:c r="L25" s="2">
        <x:v>90</x:v>
      </x:c>
      <x:c r="M25" s="2">
        <x:f t="shared" si="0"/>
        <x:v>93.6</x:v>
      </x:c>
      <x:c r="N25" s="2" t="str">
        <x:f t="shared" si="1"/>
        <x:v>HOT</x:v>
      </x:c>
      <x:c r="O25" s="2" t="s">
        <x:v>537</x:v>
      </x:c>
    </x:row>
    <x:row r="26" ht="55.20000076293945">
      <x:c r="A26" s="2">
        <x:v>8</x:v>
      </x:c>
      <x:c r="B26" s="2">
        <x:v>2</x:v>
      </x:c>
      <x:c r="C26" s="2" t="s">
        <x:v>408</x:v>
      </x:c>
      <x:c r="D26" s="2" t="s">
        <x:v>409</x:v>
      </x:c>
      <x:c r="E26" s="2" t="s">
        <x:v>1</x:v>
      </x:c>
      <x:c r="F26" s="2">
        <x:v>1</x:v>
      </x:c>
      <x:c r="G26" s="2" t="s">
        <x:v>145</x:v>
      </x:c>
      <x:c r="H26" s="2" t="s">
        <x:v>146</x:v>
      </x:c>
      <x:c r="I26" s="2" t="s">
        <x:v>148</x:v>
      </x:c>
      <x:c r="J26" s="2">
        <x:v>94</x:v>
      </x:c>
      <x:c r="K26" s="2">
        <x:v>96</x:v>
      </x:c>
      <x:c r="L26" s="2">
        <x:v>90</x:v>
      </x:c>
      <x:c r="M26" s="2">
        <x:f t="shared" si="0"/>
        <x:v>94.2</x:v>
      </x:c>
      <x:c r="N26" s="2" t="str">
        <x:f t="shared" si="1"/>
        <x:v>HOT</x:v>
      </x:c>
      <x:c r="O26" s="2" t="s">
        <x:v>538</x:v>
      </x:c>
    </x:row>
    <x:row r="27" ht="55.20000076293945">
      <x:c r="A27" s="2">
        <x:v>8</x:v>
      </x:c>
      <x:c r="B27" s="2">
        <x:v>2</x:v>
      </x:c>
      <x:c r="C27" s="2" t="s">
        <x:v>408</x:v>
      </x:c>
      <x:c r="D27" s="2" t="s">
        <x:v>409</x:v>
      </x:c>
      <x:c r="E27" s="2" t="s">
        <x:v>1</x:v>
      </x:c>
      <x:c r="F27" s="2">
        <x:v>2</x:v>
      </x:c>
      <x:c r="G27" s="2" t="s">
        <x:v>262</x:v>
      </x:c>
      <x:c r="H27" s="2" t="s">
        <x:v>263</x:v>
      </x:c>
      <x:c r="I27" s="2" t="s">
        <x:v>265</x:v>
      </x:c>
      <x:c r="J27" s="2">
        <x:v>89</x:v>
      </x:c>
      <x:c r="K27" s="2">
        <x:v>100</x:v>
      </x:c>
      <x:c r="L27" s="2">
        <x:v>90</x:v>
      </x:c>
      <x:c r="M27" s="2">
        <x:f t="shared" si="0"/>
        <x:v>93.6</x:v>
      </x:c>
      <x:c r="N27" s="2" t="str">
        <x:f t="shared" si="1"/>
        <x:v>HOT</x:v>
      </x:c>
      <x:c r="O27" s="2" t="s">
        <x:v>533</x:v>
      </x:c>
    </x:row>
    <x:row r="28" ht="55.20000076293945">
      <x:c r="A28" s="2">
        <x:v>8</x:v>
      </x:c>
      <x:c r="B28" s="2">
        <x:v>2</x:v>
      </x:c>
      <x:c r="C28" s="2" t="s">
        <x:v>408</x:v>
      </x:c>
      <x:c r="D28" s="2" t="s">
        <x:v>409</x:v>
      </x:c>
      <x:c r="E28" s="2" t="s">
        <x:v>1</x:v>
      </x:c>
      <x:c r="F28" s="2">
        <x:v>3</x:v>
      </x:c>
      <x:c r="G28" s="2" t="s">
        <x:v>190</x:v>
      </x:c>
      <x:c r="H28" s="2" t="s">
        <x:v>191</x:v>
      </x:c>
      <x:c r="I28" s="2" t="s">
        <x:v>193</x:v>
      </x:c>
      <x:c r="J28" s="2">
        <x:v>93</x:v>
      </x:c>
      <x:c r="K28" s="2">
        <x:v>95</x:v>
      </x:c>
      <x:c r="L28" s="2">
        <x:v>90</x:v>
      </x:c>
      <x:c r="M28" s="2">
        <x:f t="shared" si="0"/>
        <x:v>93.4</x:v>
      </x:c>
      <x:c r="N28" s="2" t="str">
        <x:f t="shared" si="1"/>
        <x:v>HOT</x:v>
      </x:c>
      <x:c r="O28" s="2" t="s">
        <x:v>534</x:v>
      </x:c>
    </x:row>
    <x:row r="29" ht="55.20000076293945">
      <x:c r="A29" s="2">
        <x:v>9</x:v>
      </x:c>
      <x:c r="B29" s="2">
        <x:v>5</x:v>
      </x:c>
      <x:c r="C29" s="2" t="s">
        <x:v>318</x:v>
      </x:c>
      <x:c r="D29" s="2" t="s">
        <x:v>319</x:v>
      </x:c>
      <x:c r="E29" s="2" t="s">
        <x:v>1</x:v>
      </x:c>
      <x:c r="F29" s="2">
        <x:v>1</x:v>
      </x:c>
      <x:c r="G29" s="2" t="s">
        <x:v>55</x:v>
      </x:c>
      <x:c r="H29" s="2" t="s">
        <x:v>56</x:v>
      </x:c>
      <x:c r="I29" s="2" t="s">
        <x:v>58</x:v>
      </x:c>
      <x:c r="J29" s="2">
        <x:v>90</x:v>
      </x:c>
      <x:c r="K29" s="2">
        <x:v>100</x:v>
      </x:c>
      <x:c r="L29" s="2">
        <x:v>90</x:v>
      </x:c>
      <x:c r="M29" s="2">
        <x:f t="shared" si="0"/>
        <x:v>94</x:v>
      </x:c>
      <x:c r="N29" s="2" t="str">
        <x:f t="shared" si="1"/>
        <x:v>HOT</x:v>
      </x:c>
      <x:c r="O29" s="2" t="s">
        <x:v>539</x:v>
      </x:c>
    </x:row>
    <x:row r="30" ht="41.400001525878906">
      <x:c r="A30" s="2">
        <x:v>9</x:v>
      </x:c>
      <x:c r="B30" s="2">
        <x:v>5</x:v>
      </x:c>
      <x:c r="C30" s="2" t="s">
        <x:v>318</x:v>
      </x:c>
      <x:c r="D30" s="2" t="s">
        <x:v>319</x:v>
      </x:c>
      <x:c r="E30" s="2" t="s">
        <x:v>1</x:v>
      </x:c>
      <x:c r="F30" s="2">
        <x:v>2</x:v>
      </x:c>
      <x:c r="G30" s="2" t="s">
        <x:v>163</x:v>
      </x:c>
      <x:c r="H30" s="2" t="s">
        <x:v>164</x:v>
      </x:c>
      <x:c r="I30" s="2" t="s">
        <x:v>166</x:v>
      </x:c>
      <x:c r="J30" s="2">
        <x:v>90</x:v>
      </x:c>
      <x:c r="K30" s="2">
        <x:v>96</x:v>
      </x:c>
      <x:c r="L30" s="2">
        <x:v>90</x:v>
      </x:c>
      <x:c r="M30" s="2">
        <x:f t="shared" si="0"/>
        <x:v>92.4</x:v>
      </x:c>
      <x:c r="N30" s="2" t="str">
        <x:f t="shared" si="1"/>
        <x:v>HOT</x:v>
      </x:c>
      <x:c r="O30" s="2" t="s">
        <x:v>540</x:v>
      </x:c>
    </x:row>
    <x:row r="31" ht="55.20000076293945">
      <x:c r="A31" s="2">
        <x:v>9</x:v>
      </x:c>
      <x:c r="B31" s="2">
        <x:v>5</x:v>
      </x:c>
      <x:c r="C31" s="2" t="s">
        <x:v>318</x:v>
      </x:c>
      <x:c r="D31" s="2" t="s">
        <x:v>319</x:v>
      </x:c>
      <x:c r="E31" s="2" t="s">
        <x:v>1</x:v>
      </x:c>
      <x:c r="F31" s="2">
        <x:v>3</x:v>
      </x:c>
      <x:c r="G31" s="2" t="s">
        <x:v>127</x:v>
      </x:c>
      <x:c r="H31" s="2" t="s">
        <x:v>128</x:v>
      </x:c>
      <x:c r="I31" s="2" t="s">
        <x:v>130</x:v>
      </x:c>
      <x:c r="J31" s="2">
        <x:v>82</x:v>
      </x:c>
      <x:c r="K31" s="2">
        <x:v>100</x:v>
      </x:c>
      <x:c r="L31" s="2">
        <x:v>90</x:v>
      </x:c>
      <x:c r="M31" s="2">
        <x:f t="shared" si="0"/>
        <x:v>90.4</x:v>
      </x:c>
      <x:c r="N31" s="2" t="str">
        <x:f t="shared" si="1"/>
        <x:v>HOT</x:v>
      </x:c>
      <x:c r="O31" s="2" t="s">
        <x:v>541</x:v>
      </x:c>
    </x:row>
    <x:row r="32" ht="55.20000076293945">
      <x:c r="A32" s="2">
        <x:v>10</x:v>
      </x:c>
      <x:c r="B32" s="2">
        <x:v>5</x:v>
      </x:c>
      <x:c r="C32" s="2" t="s">
        <x:v>330</x:v>
      </x:c>
      <x:c r="D32" s="2" t="s">
        <x:v>331</x:v>
      </x:c>
      <x:c r="E32" s="2" t="s">
        <x:v>1</x:v>
      </x:c>
      <x:c r="F32" s="2">
        <x:v>1</x:v>
      </x:c>
      <x:c r="G32" s="2" t="s">
        <x:v>55</x:v>
      </x:c>
      <x:c r="H32" s="2" t="s">
        <x:v>56</x:v>
      </x:c>
      <x:c r="I32" s="2" t="s">
        <x:v>58</x:v>
      </x:c>
      <x:c r="J32" s="2">
        <x:v>90</x:v>
      </x:c>
      <x:c r="K32" s="2">
        <x:v>100</x:v>
      </x:c>
      <x:c r="L32" s="2">
        <x:v>90</x:v>
      </x:c>
      <x:c r="M32" s="2">
        <x:f t="shared" si="0"/>
        <x:v>94</x:v>
      </x:c>
      <x:c r="N32" s="2" t="str">
        <x:f t="shared" si="1"/>
        <x:v>HOT</x:v>
      </x:c>
      <x:c r="O32" s="2" t="s">
        <x:v>539</x:v>
      </x:c>
    </x:row>
    <x:row r="33" ht="41.400001525878906">
      <x:c r="A33" s="2">
        <x:v>10</x:v>
      </x:c>
      <x:c r="B33" s="2">
        <x:v>5</x:v>
      </x:c>
      <x:c r="C33" s="2" t="s">
        <x:v>330</x:v>
      </x:c>
      <x:c r="D33" s="2" t="s">
        <x:v>331</x:v>
      </x:c>
      <x:c r="E33" s="2" t="s">
        <x:v>1</x:v>
      </x:c>
      <x:c r="F33" s="2">
        <x:v>2</x:v>
      </x:c>
      <x:c r="G33" s="2" t="s">
        <x:v>163</x:v>
      </x:c>
      <x:c r="H33" s="2" t="s">
        <x:v>164</x:v>
      </x:c>
      <x:c r="I33" s="2" t="s">
        <x:v>166</x:v>
      </x:c>
      <x:c r="J33" s="2">
        <x:v>90</x:v>
      </x:c>
      <x:c r="K33" s="2">
        <x:v>96</x:v>
      </x:c>
      <x:c r="L33" s="2">
        <x:v>90</x:v>
      </x:c>
      <x:c r="M33" s="2">
        <x:f t="shared" si="0"/>
        <x:v>92.4</x:v>
      </x:c>
      <x:c r="N33" s="2" t="str">
        <x:f t="shared" si="1"/>
        <x:v>HOT</x:v>
      </x:c>
      <x:c r="O33" s="2" t="s">
        <x:v>540</x:v>
      </x:c>
    </x:row>
    <x:row r="34" ht="55.20000076293945">
      <x:c r="A34" s="2">
        <x:v>10</x:v>
      </x:c>
      <x:c r="B34" s="2">
        <x:v>5</x:v>
      </x:c>
      <x:c r="C34" s="2" t="s">
        <x:v>330</x:v>
      </x:c>
      <x:c r="D34" s="2" t="s">
        <x:v>331</x:v>
      </x:c>
      <x:c r="E34" s="2" t="s">
        <x:v>1</x:v>
      </x:c>
      <x:c r="F34" s="2">
        <x:v>3</x:v>
      </x:c>
      <x:c r="G34" s="2" t="s">
        <x:v>127</x:v>
      </x:c>
      <x:c r="H34" s="2" t="s">
        <x:v>128</x:v>
      </x:c>
      <x:c r="I34" s="2" t="s">
        <x:v>130</x:v>
      </x:c>
      <x:c r="J34" s="2">
        <x:v>82</x:v>
      </x:c>
      <x:c r="K34" s="2">
        <x:v>100</x:v>
      </x:c>
      <x:c r="L34" s="2">
        <x:v>90</x:v>
      </x:c>
      <x:c r="M34" s="2">
        <x:f t="shared" si="0"/>
        <x:v>90.4</x:v>
      </x:c>
      <x:c r="N34" s="2" t="str">
        <x:f t="shared" si="1"/>
        <x:v>HOT</x:v>
      </x:c>
      <x:c r="O34" s="2" t="s">
        <x:v>541</x:v>
      </x:c>
    </x:row>
    <x:row r="35" ht="55.20000076293945">
      <x:c r="A35" s="2">
        <x:v>11</x:v>
      </x:c>
      <x:c r="B35" s="2">
        <x:v>5</x:v>
      </x:c>
      <x:c r="C35" s="2" t="s">
        <x:v>334</x:v>
      </x:c>
      <x:c r="D35" s="2" t="s">
        <x:v>335</x:v>
      </x:c>
      <x:c r="E35" s="2" t="s">
        <x:v>1</x:v>
      </x:c>
      <x:c r="F35" s="2">
        <x:v>1</x:v>
      </x:c>
      <x:c r="G35" s="2" t="s">
        <x:v>55</x:v>
      </x:c>
      <x:c r="H35" s="2" t="s">
        <x:v>56</x:v>
      </x:c>
      <x:c r="I35" s="2" t="s">
        <x:v>58</x:v>
      </x:c>
      <x:c r="J35" s="2">
        <x:v>90</x:v>
      </x:c>
      <x:c r="K35" s="2">
        <x:v>100</x:v>
      </x:c>
      <x:c r="L35" s="2">
        <x:v>90</x:v>
      </x:c>
      <x:c r="M35" s="2">
        <x:f t="shared" si="0"/>
        <x:v>94</x:v>
      </x:c>
      <x:c r="N35" s="2" t="str">
        <x:f t="shared" si="1"/>
        <x:v>HOT</x:v>
      </x:c>
      <x:c r="O35" s="2" t="s">
        <x:v>539</x:v>
      </x:c>
    </x:row>
    <x:row r="36" ht="55.20000076293945">
      <x:c r="A36" s="2">
        <x:v>11</x:v>
      </x:c>
      <x:c r="B36" s="2">
        <x:v>5</x:v>
      </x:c>
      <x:c r="C36" s="2" t="s">
        <x:v>334</x:v>
      </x:c>
      <x:c r="D36" s="2" t="s">
        <x:v>335</x:v>
      </x:c>
      <x:c r="E36" s="2" t="s">
        <x:v>1</x:v>
      </x:c>
      <x:c r="F36" s="2">
        <x:v>2</x:v>
      </x:c>
      <x:c r="G36" s="2" t="s">
        <x:v>145</x:v>
      </x:c>
      <x:c r="H36" s="2" t="s">
        <x:v>146</x:v>
      </x:c>
      <x:c r="I36" s="2" t="s">
        <x:v>148</x:v>
      </x:c>
      <x:c r="J36" s="2">
        <x:v>94</x:v>
      </x:c>
      <x:c r="K36" s="2">
        <x:v>90</x:v>
      </x:c>
      <x:c r="L36" s="2">
        <x:v>90</x:v>
      </x:c>
      <x:c r="M36" s="2">
        <x:f t="shared" si="0"/>
        <x:v>91.8</x:v>
      </x:c>
      <x:c r="N36" s="2" t="str">
        <x:f t="shared" si="1"/>
        <x:v>HOT</x:v>
      </x:c>
      <x:c r="O36" s="2" t="s">
        <x:v>542</x:v>
      </x:c>
    </x:row>
    <x:row r="37" ht="55.20000076293945">
      <x:c r="A37" s="2">
        <x:v>11</x:v>
      </x:c>
      <x:c r="B37" s="2">
        <x:v>5</x:v>
      </x:c>
      <x:c r="C37" s="2" t="s">
        <x:v>334</x:v>
      </x:c>
      <x:c r="D37" s="2" t="s">
        <x:v>335</x:v>
      </x:c>
      <x:c r="E37" s="2" t="s">
        <x:v>1</x:v>
      </x:c>
      <x:c r="F37" s="2">
        <x:v>3</x:v>
      </x:c>
      <x:c r="G37" s="2" t="s">
        <x:v>262</x:v>
      </x:c>
      <x:c r="H37" s="2" t="s">
        <x:v>263</x:v>
      </x:c>
      <x:c r="I37" s="2" t="s">
        <x:v>265</x:v>
      </x:c>
      <x:c r="J37" s="2">
        <x:v>89</x:v>
      </x:c>
      <x:c r="K37" s="2">
        <x:v>93</x:v>
      </x:c>
      <x:c r="L37" s="2">
        <x:v>90</x:v>
      </x:c>
      <x:c r="M37" s="2" t="n">
        <x:f t="shared" ref="M37:M68" si="2">ROUND(J37*0.45+K37*0.4+L37*0.15,1)</x:f>
        <x:v>90.8</x:v>
      </x:c>
      <x:c r="N37" s="2" t="str">
        <x:f t="shared" ref="N37:N68" si="3">IF(M37&gt;=80,"HOT",IF(M37&gt;=60,"WARM","COLD"))</x:f>
        <x:v>HOT</x:v>
      </x:c>
      <x:c r="O37" s="2" t="s">
        <x:v>543</x:v>
      </x:c>
    </x:row>
    <x:row r="38" ht="55.20000076293945">
      <x:c r="A38" s="2">
        <x:v>12</x:v>
      </x:c>
      <x:c r="B38" s="2">
        <x:v>5</x:v>
      </x:c>
      <x:c r="C38" s="2" t="s">
        <x:v>342</x:v>
      </x:c>
      <x:c r="D38" s="2" t="s">
        <x:v>343</x:v>
      </x:c>
      <x:c r="E38" s="2" t="s">
        <x:v>1</x:v>
      </x:c>
      <x:c r="F38" s="2">
        <x:v>1</x:v>
      </x:c>
      <x:c r="G38" s="2" t="s">
        <x:v>55</x:v>
      </x:c>
      <x:c r="H38" s="2" t="s">
        <x:v>56</x:v>
      </x:c>
      <x:c r="I38" s="2" t="s">
        <x:v>58</x:v>
      </x:c>
      <x:c r="J38" s="2">
        <x:v>90</x:v>
      </x:c>
      <x:c r="K38" s="2">
        <x:v>100</x:v>
      </x:c>
      <x:c r="L38" s="2">
        <x:v>90</x:v>
      </x:c>
      <x:c r="M38" s="2">
        <x:f t="shared" si="2"/>
        <x:v>94</x:v>
      </x:c>
      <x:c r="N38" s="2" t="str">
        <x:f t="shared" si="3"/>
        <x:v>HOT</x:v>
      </x:c>
      <x:c r="O38" s="2" t="s">
        <x:v>539</x:v>
      </x:c>
    </x:row>
    <x:row r="39" ht="55.20000076293945">
      <x:c r="A39" s="2">
        <x:v>12</x:v>
      </x:c>
      <x:c r="B39" s="2">
        <x:v>5</x:v>
      </x:c>
      <x:c r="C39" s="2" t="s">
        <x:v>342</x:v>
      </x:c>
      <x:c r="D39" s="2" t="s">
        <x:v>343</x:v>
      </x:c>
      <x:c r="E39" s="2" t="s">
        <x:v>1</x:v>
      </x:c>
      <x:c r="F39" s="2">
        <x:v>2</x:v>
      </x:c>
      <x:c r="G39" s="2" t="s">
        <x:v>163</x:v>
      </x:c>
      <x:c r="H39" s="2" t="s">
        <x:v>164</x:v>
      </x:c>
      <x:c r="I39" s="2" t="s">
        <x:v>166</x:v>
      </x:c>
      <x:c r="J39" s="2">
        <x:v>90</x:v>
      </x:c>
      <x:c r="K39" s="2">
        <x:v>100</x:v>
      </x:c>
      <x:c r="L39" s="2">
        <x:v>90</x:v>
      </x:c>
      <x:c r="M39" s="2">
        <x:f t="shared" si="2"/>
        <x:v>94</x:v>
      </x:c>
      <x:c r="N39" s="2" t="str">
        <x:f t="shared" si="3"/>
        <x:v>HOT</x:v>
      </x:c>
      <x:c r="O39" s="2" t="s">
        <x:v>544</x:v>
      </x:c>
    </x:row>
    <x:row r="40" ht="55.20000076293945">
      <x:c r="A40" s="2">
        <x:v>12</x:v>
      </x:c>
      <x:c r="B40" s="2">
        <x:v>5</x:v>
      </x:c>
      <x:c r="C40" s="2" t="s">
        <x:v>342</x:v>
      </x:c>
      <x:c r="D40" s="2" t="s">
        <x:v>343</x:v>
      </x:c>
      <x:c r="E40" s="2" t="s">
        <x:v>1</x:v>
      </x:c>
      <x:c r="F40" s="2">
        <x:v>3</x:v>
      </x:c>
      <x:c r="G40" s="2" t="s">
        <x:v>127</x:v>
      </x:c>
      <x:c r="H40" s="2" t="s">
        <x:v>128</x:v>
      </x:c>
      <x:c r="I40" s="2" t="s">
        <x:v>130</x:v>
      </x:c>
      <x:c r="J40" s="2">
        <x:v>82</x:v>
      </x:c>
      <x:c r="K40" s="2">
        <x:v>100</x:v>
      </x:c>
      <x:c r="L40" s="2">
        <x:v>90</x:v>
      </x:c>
      <x:c r="M40" s="2">
        <x:f t="shared" si="2"/>
        <x:v>90.4</x:v>
      </x:c>
      <x:c r="N40" s="2" t="str">
        <x:f t="shared" si="3"/>
        <x:v>HOT</x:v>
      </x:c>
      <x:c r="O40" s="2" t="s">
        <x:v>541</x:v>
      </x:c>
    </x:row>
    <x:row r="41" ht="55.20000076293945">
      <x:c r="A41" s="2">
        <x:v>13</x:v>
      </x:c>
      <x:c r="B41" s="2">
        <x:v>5</x:v>
      </x:c>
      <x:c r="C41" s="2" t="s">
        <x:v>350</x:v>
      </x:c>
      <x:c r="D41" s="2" t="s">
        <x:v>351</x:v>
      </x:c>
      <x:c r="E41" s="2" t="s">
        <x:v>1</x:v>
      </x:c>
      <x:c r="F41" s="2">
        <x:v>1</x:v>
      </x:c>
      <x:c r="G41" s="2" t="s">
        <x:v>55</x:v>
      </x:c>
      <x:c r="H41" s="2" t="s">
        <x:v>56</x:v>
      </x:c>
      <x:c r="I41" s="2" t="s">
        <x:v>58</x:v>
      </x:c>
      <x:c r="J41" s="2">
        <x:v>90</x:v>
      </x:c>
      <x:c r="K41" s="2">
        <x:v>100</x:v>
      </x:c>
      <x:c r="L41" s="2">
        <x:v>90</x:v>
      </x:c>
      <x:c r="M41" s="2">
        <x:f t="shared" si="2"/>
        <x:v>94</x:v>
      </x:c>
      <x:c r="N41" s="2" t="str">
        <x:f t="shared" si="3"/>
        <x:v>HOT</x:v>
      </x:c>
      <x:c r="O41" s="2" t="s">
        <x:v>539</x:v>
      </x:c>
    </x:row>
    <x:row r="42" ht="55.20000076293945">
      <x:c r="A42" s="2">
        <x:v>13</x:v>
      </x:c>
      <x:c r="B42" s="2">
        <x:v>5</x:v>
      </x:c>
      <x:c r="C42" s="2" t="s">
        <x:v>350</x:v>
      </x:c>
      <x:c r="D42" s="2" t="s">
        <x:v>351</x:v>
      </x:c>
      <x:c r="E42" s="2" t="s">
        <x:v>1</x:v>
      </x:c>
      <x:c r="F42" s="2">
        <x:v>2</x:v>
      </x:c>
      <x:c r="G42" s="2" t="s">
        <x:v>163</x:v>
      </x:c>
      <x:c r="H42" s="2" t="s">
        <x:v>164</x:v>
      </x:c>
      <x:c r="I42" s="2" t="s">
        <x:v>166</x:v>
      </x:c>
      <x:c r="J42" s="2">
        <x:v>90</x:v>
      </x:c>
      <x:c r="K42" s="2">
        <x:v>100</x:v>
      </x:c>
      <x:c r="L42" s="2">
        <x:v>90</x:v>
      </x:c>
      <x:c r="M42" s="2">
        <x:f t="shared" si="2"/>
        <x:v>94</x:v>
      </x:c>
      <x:c r="N42" s="2" t="str">
        <x:f t="shared" si="3"/>
        <x:v>HOT</x:v>
      </x:c>
      <x:c r="O42" s="2" t="s">
        <x:v>544</x:v>
      </x:c>
    </x:row>
    <x:row r="43" ht="55.20000076293945">
      <x:c r="A43" s="2">
        <x:v>13</x:v>
      </x:c>
      <x:c r="B43" s="2">
        <x:v>5</x:v>
      </x:c>
      <x:c r="C43" s="2" t="s">
        <x:v>350</x:v>
      </x:c>
      <x:c r="D43" s="2" t="s">
        <x:v>351</x:v>
      </x:c>
      <x:c r="E43" s="2" t="s">
        <x:v>1</x:v>
      </x:c>
      <x:c r="F43" s="2">
        <x:v>3</x:v>
      </x:c>
      <x:c r="G43" s="2" t="s">
        <x:v>145</x:v>
      </x:c>
      <x:c r="H43" s="2" t="s">
        <x:v>146</x:v>
      </x:c>
      <x:c r="I43" s="2" t="s">
        <x:v>148</x:v>
      </x:c>
      <x:c r="J43" s="2">
        <x:v>94</x:v>
      </x:c>
      <x:c r="K43" s="2">
        <x:v>88</x:v>
      </x:c>
      <x:c r="L43" s="2">
        <x:v>90</x:v>
      </x:c>
      <x:c r="M43" s="2">
        <x:f t="shared" si="2"/>
        <x:v>91</x:v>
      </x:c>
      <x:c r="N43" s="2" t="str">
        <x:f t="shared" si="3"/>
        <x:v>HOT</x:v>
      </x:c>
      <x:c r="O43" s="2" t="s">
        <x:v>545</x:v>
      </x:c>
    </x:row>
    <x:row r="44" ht="55.20000076293945">
      <x:c r="A44" s="2">
        <x:v>14</x:v>
      </x:c>
      <x:c r="B44" s="2">
        <x:v>4</x:v>
      </x:c>
      <x:c r="C44" s="2" t="s">
        <x:v>356</x:v>
      </x:c>
      <x:c r="D44" s="2" t="s">
        <x:v>357</x:v>
      </x:c>
      <x:c r="E44" s="2" t="s">
        <x:v>1</x:v>
      </x:c>
      <x:c r="F44" s="2">
        <x:v>1</x:v>
      </x:c>
      <x:c r="G44" s="2" t="s">
        <x:v>163</x:v>
      </x:c>
      <x:c r="H44" s="2" t="s">
        <x:v>164</x:v>
      </x:c>
      <x:c r="I44" s="2" t="s">
        <x:v>166</x:v>
      </x:c>
      <x:c r="J44" s="2">
        <x:v>90</x:v>
      </x:c>
      <x:c r="K44" s="2">
        <x:v>100</x:v>
      </x:c>
      <x:c r="L44" s="2">
        <x:v>90</x:v>
      </x:c>
      <x:c r="M44" s="2">
        <x:f t="shared" si="2"/>
        <x:v>94</x:v>
      </x:c>
      <x:c r="N44" s="2" t="str">
        <x:f t="shared" si="3"/>
        <x:v>HOT</x:v>
      </x:c>
      <x:c r="O44" s="2" t="s">
        <x:v>536</x:v>
      </x:c>
    </x:row>
    <x:row r="45" ht="55.20000076293945">
      <x:c r="A45" s="2">
        <x:v>14</x:v>
      </x:c>
      <x:c r="B45" s="2">
        <x:v>4</x:v>
      </x:c>
      <x:c r="C45" s="2" t="s">
        <x:v>356</x:v>
      </x:c>
      <x:c r="D45" s="2" t="s">
        <x:v>357</x:v>
      </x:c>
      <x:c r="E45" s="2" t="s">
        <x:v>1</x:v>
      </x:c>
      <x:c r="F45" s="2">
        <x:v>2</x:v>
      </x:c>
      <x:c r="G45" s="2" t="s">
        <x:v>109</x:v>
      </x:c>
      <x:c r="H45" s="2" t="s">
        <x:v>110</x:v>
      </x:c>
      <x:c r="I45" s="2" t="s">
        <x:v>112</x:v>
      </x:c>
      <x:c r="J45" s="2">
        <x:v>89</x:v>
      </x:c>
      <x:c r="K45" s="2">
        <x:v>100</x:v>
      </x:c>
      <x:c r="L45" s="2">
        <x:v>90</x:v>
      </x:c>
      <x:c r="M45" s="2">
        <x:f t="shared" si="2"/>
        <x:v>93.6</x:v>
      </x:c>
      <x:c r="N45" s="2" t="str">
        <x:f t="shared" si="3"/>
        <x:v>HOT</x:v>
      </x:c>
      <x:c r="O45" s="2" t="s">
        <x:v>537</x:v>
      </x:c>
    </x:row>
    <x:row r="46" ht="55.20000076293945">
      <x:c r="A46" s="2">
        <x:v>14</x:v>
      </x:c>
      <x:c r="B46" s="2">
        <x:v>4</x:v>
      </x:c>
      <x:c r="C46" s="2" t="s">
        <x:v>356</x:v>
      </x:c>
      <x:c r="D46" s="2" t="s">
        <x:v>357</x:v>
      </x:c>
      <x:c r="E46" s="2" t="s">
        <x:v>1</x:v>
      </x:c>
      <x:c r="F46" s="2">
        <x:v>3</x:v>
      </x:c>
      <x:c r="G46" s="2" t="s">
        <x:v>262</x:v>
      </x:c>
      <x:c r="H46" s="2" t="s">
        <x:v>263</x:v>
      </x:c>
      <x:c r="I46" s="2" t="s">
        <x:v>265</x:v>
      </x:c>
      <x:c r="J46" s="2">
        <x:v>89</x:v>
      </x:c>
      <x:c r="K46" s="2">
        <x:v>100</x:v>
      </x:c>
      <x:c r="L46" s="2">
        <x:v>90</x:v>
      </x:c>
      <x:c r="M46" s="2">
        <x:f t="shared" si="2"/>
        <x:v>93.6</x:v>
      </x:c>
      <x:c r="N46" s="2" t="str">
        <x:f t="shared" si="3"/>
        <x:v>HOT</x:v>
      </x:c>
      <x:c r="O46" s="2" t="s">
        <x:v>546</x:v>
      </x:c>
    </x:row>
    <x:row r="47" ht="55.20000076293945">
      <x:c r="A47" s="2">
        <x:v>15</x:v>
      </x:c>
      <x:c r="B47" s="2">
        <x:v>4</x:v>
      </x:c>
      <x:c r="C47" s="2" t="s">
        <x:v>364</x:v>
      </x:c>
      <x:c r="D47" s="2" t="s">
        <x:v>365</x:v>
      </x:c>
      <x:c r="E47" s="2" t="s">
        <x:v>1</x:v>
      </x:c>
      <x:c r="F47" s="2">
        <x:v>1</x:v>
      </x:c>
      <x:c r="G47" s="2" t="s">
        <x:v>163</x:v>
      </x:c>
      <x:c r="H47" s="2" t="s">
        <x:v>164</x:v>
      </x:c>
      <x:c r="I47" s="2" t="s">
        <x:v>166</x:v>
      </x:c>
      <x:c r="J47" s="2">
        <x:v>90</x:v>
      </x:c>
      <x:c r="K47" s="2">
        <x:v>100</x:v>
      </x:c>
      <x:c r="L47" s="2">
        <x:v>90</x:v>
      </x:c>
      <x:c r="M47" s="2">
        <x:f t="shared" si="2"/>
        <x:v>94</x:v>
      </x:c>
      <x:c r="N47" s="2" t="str">
        <x:f t="shared" si="3"/>
        <x:v>HOT</x:v>
      </x:c>
      <x:c r="O47" s="2" t="s">
        <x:v>536</x:v>
      </x:c>
    </x:row>
    <x:row r="48" ht="55.20000076293945">
      <x:c r="A48" s="2">
        <x:v>15</x:v>
      </x:c>
      <x:c r="B48" s="2">
        <x:v>4</x:v>
      </x:c>
      <x:c r="C48" s="2" t="s">
        <x:v>364</x:v>
      </x:c>
      <x:c r="D48" s="2" t="s">
        <x:v>365</x:v>
      </x:c>
      <x:c r="E48" s="2" t="s">
        <x:v>1</x:v>
      </x:c>
      <x:c r="F48" s="2">
        <x:v>2</x:v>
      </x:c>
      <x:c r="G48" s="2" t="s">
        <x:v>109</x:v>
      </x:c>
      <x:c r="H48" s="2" t="s">
        <x:v>110</x:v>
      </x:c>
      <x:c r="I48" s="2" t="s">
        <x:v>112</x:v>
      </x:c>
      <x:c r="J48" s="2">
        <x:v>89</x:v>
      </x:c>
      <x:c r="K48" s="2">
        <x:v>100</x:v>
      </x:c>
      <x:c r="L48" s="2">
        <x:v>90</x:v>
      </x:c>
      <x:c r="M48" s="2">
        <x:f t="shared" si="2"/>
        <x:v>93.6</x:v>
      </x:c>
      <x:c r="N48" s="2" t="str">
        <x:f t="shared" si="3"/>
        <x:v>HOT</x:v>
      </x:c>
      <x:c r="O48" s="2" t="s">
        <x:v>537</x:v>
      </x:c>
    </x:row>
    <x:row r="49" ht="55.20000076293945">
      <x:c r="A49" s="2">
        <x:v>15</x:v>
      </x:c>
      <x:c r="B49" s="2">
        <x:v>4</x:v>
      </x:c>
      <x:c r="C49" s="2" t="s">
        <x:v>364</x:v>
      </x:c>
      <x:c r="D49" s="2" t="s">
        <x:v>365</x:v>
      </x:c>
      <x:c r="E49" s="2" t="s">
        <x:v>1</x:v>
      </x:c>
      <x:c r="F49" s="2">
        <x:v>3</x:v>
      </x:c>
      <x:c r="G49" s="2" t="s">
        <x:v>262</x:v>
      </x:c>
      <x:c r="H49" s="2" t="s">
        <x:v>263</x:v>
      </x:c>
      <x:c r="I49" s="2" t="s">
        <x:v>265</x:v>
      </x:c>
      <x:c r="J49" s="2">
        <x:v>89</x:v>
      </x:c>
      <x:c r="K49" s="2">
        <x:v>100</x:v>
      </x:c>
      <x:c r="L49" s="2">
        <x:v>90</x:v>
      </x:c>
      <x:c r="M49" s="2">
        <x:f t="shared" si="2"/>
        <x:v>93.6</x:v>
      </x:c>
      <x:c r="N49" s="2" t="str">
        <x:f t="shared" si="3"/>
        <x:v>HOT</x:v>
      </x:c>
      <x:c r="O49" s="2" t="s">
        <x:v>546</x:v>
      </x:c>
    </x:row>
    <x:row r="50" ht="55.20000076293945">
      <x:c r="A50" s="2">
        <x:v>16</x:v>
      </x:c>
      <x:c r="B50" s="2">
        <x:v>1</x:v>
      </x:c>
      <x:c r="C50" s="2" t="s">
        <x:v>422</x:v>
      </x:c>
      <x:c r="D50" s="2" t="s">
        <x:v>423</x:v>
      </x:c>
      <x:c r="E50" s="2" t="s">
        <x:v>2</x:v>
      </x:c>
      <x:c r="F50" s="2">
        <x:v>1</x:v>
      </x:c>
      <x:c r="G50" s="2" t="s">
        <x:v>271</x:v>
      </x:c>
      <x:c r="H50" s="2" t="s">
        <x:v>272</x:v>
      </x:c>
      <x:c r="I50" s="2" t="s">
        <x:v>274</x:v>
      </x:c>
      <x:c r="J50" s="2">
        <x:v>98</x:v>
      </x:c>
      <x:c r="K50" s="2">
        <x:v>96</x:v>
      </x:c>
      <x:c r="L50" s="2">
        <x:v>65</x:v>
      </x:c>
      <x:c r="M50" s="2">
        <x:f t="shared" si="2"/>
        <x:v>92.3</x:v>
      </x:c>
      <x:c r="N50" s="2" t="str">
        <x:f t="shared" si="3"/>
        <x:v>HOT</x:v>
      </x:c>
      <x:c r="O50" s="2" t="s">
        <x:v>547</x:v>
      </x:c>
    </x:row>
    <x:row r="51" ht="55.20000076293945">
      <x:c r="A51" s="2">
        <x:v>16</x:v>
      </x:c>
      <x:c r="B51" s="2">
        <x:v>1</x:v>
      </x:c>
      <x:c r="C51" s="2" t="s">
        <x:v>422</x:v>
      </x:c>
      <x:c r="D51" s="2" t="s">
        <x:v>423</x:v>
      </x:c>
      <x:c r="E51" s="2" t="s">
        <x:v>2</x:v>
      </x:c>
      <x:c r="F51" s="2">
        <x:v>2</x:v>
      </x:c>
      <x:c r="G51" s="2" t="s">
        <x:v>100</x:v>
      </x:c>
      <x:c r="H51" s="2" t="s">
        <x:v>101</x:v>
      </x:c>
      <x:c r="I51" s="2" t="s">
        <x:v>103</x:v>
      </x:c>
      <x:c r="J51" s="2">
        <x:v>94</x:v>
      </x:c>
      <x:c r="K51" s="2">
        <x:v>100</x:v>
      </x:c>
      <x:c r="L51" s="2">
        <x:v>65</x:v>
      </x:c>
      <x:c r="M51" s="2">
        <x:f t="shared" si="2"/>
        <x:v>92.1</x:v>
      </x:c>
      <x:c r="N51" s="2" t="str">
        <x:f t="shared" si="3"/>
        <x:v>HOT</x:v>
      </x:c>
      <x:c r="O51" s="2" t="s">
        <x:v>548</x:v>
      </x:c>
    </x:row>
    <x:row r="52" ht="55.20000076293945">
      <x:c r="A52" s="2">
        <x:v>16</x:v>
      </x:c>
      <x:c r="B52" s="2">
        <x:v>1</x:v>
      </x:c>
      <x:c r="C52" s="2" t="s">
        <x:v>422</x:v>
      </x:c>
      <x:c r="D52" s="2" t="s">
        <x:v>423</x:v>
      </x:c>
      <x:c r="E52" s="2" t="s">
        <x:v>2</x:v>
      </x:c>
      <x:c r="F52" s="2">
        <x:v>3</x:v>
      </x:c>
      <x:c r="G52" s="2" t="s">
        <x:v>73</x:v>
      </x:c>
      <x:c r="H52" s="2" t="s">
        <x:v>74</x:v>
      </x:c>
      <x:c r="I52" s="2" t="s">
        <x:v>76</x:v>
      </x:c>
      <x:c r="J52" s="2">
        <x:v>83</x:v>
      </x:c>
      <x:c r="K52" s="2">
        <x:v>85</x:v>
      </x:c>
      <x:c r="L52" s="2">
        <x:v>65</x:v>
      </x:c>
      <x:c r="M52" s="2">
        <x:f t="shared" si="2"/>
        <x:v>81.099999999999994</x:v>
      </x:c>
      <x:c r="N52" s="2" t="str">
        <x:f t="shared" si="3"/>
        <x:v>HOT</x:v>
      </x:c>
      <x:c r="O52" s="2" t="s">
        <x:v>549</x:v>
      </x:c>
    </x:row>
    <x:row r="53" ht="55.20000076293945">
      <x:c r="A53" s="2">
        <x:v>17</x:v>
      </x:c>
      <x:c r="B53" s="2">
        <x:v>2</x:v>
      </x:c>
      <x:c r="C53" s="2" t="s">
        <x:v>392</x:v>
      </x:c>
      <x:c r="D53" s="2" t="s">
        <x:v>393</x:v>
      </x:c>
      <x:c r="E53" s="2" t="s">
        <x:v>2</x:v>
      </x:c>
      <x:c r="F53" s="2">
        <x:v>1</x:v>
      </x:c>
      <x:c r="G53" s="2" t="s">
        <x:v>145</x:v>
      </x:c>
      <x:c r="H53" s="2" t="s">
        <x:v>146</x:v>
      </x:c>
      <x:c r="I53" s="2" t="s">
        <x:v>148</x:v>
      </x:c>
      <x:c r="J53" s="2">
        <x:v>94</x:v>
      </x:c>
      <x:c r="K53" s="2">
        <x:v>100</x:v>
      </x:c>
      <x:c r="L53" s="2">
        <x:v>65</x:v>
      </x:c>
      <x:c r="M53" s="2">
        <x:f t="shared" si="2"/>
        <x:v>92.1</x:v>
      </x:c>
      <x:c r="N53" s="2" t="str">
        <x:f t="shared" si="3"/>
        <x:v>HOT</x:v>
      </x:c>
      <x:c r="O53" s="2" t="s">
        <x:v>550</x:v>
      </x:c>
    </x:row>
    <x:row r="54" ht="55.20000076293945">
      <x:c r="A54" s="2">
        <x:v>17</x:v>
      </x:c>
      <x:c r="B54" s="2">
        <x:v>2</x:v>
      </x:c>
      <x:c r="C54" s="2" t="s">
        <x:v>392</x:v>
      </x:c>
      <x:c r="D54" s="2" t="s">
        <x:v>393</x:v>
      </x:c>
      <x:c r="E54" s="2" t="s">
        <x:v>2</x:v>
      </x:c>
      <x:c r="F54" s="2">
        <x:v>2</x:v>
      </x:c>
      <x:c r="G54" s="2" t="s">
        <x:v>190</x:v>
      </x:c>
      <x:c r="H54" s="2" t="s">
        <x:v>191</x:v>
      </x:c>
      <x:c r="I54" s="2" t="s">
        <x:v>193</x:v>
      </x:c>
      <x:c r="J54" s="2">
        <x:v>93</x:v>
      </x:c>
      <x:c r="K54" s="2">
        <x:v>100</x:v>
      </x:c>
      <x:c r="L54" s="2">
        <x:v>65</x:v>
      </x:c>
      <x:c r="M54" s="2">
        <x:f t="shared" si="2"/>
        <x:v>91.6</x:v>
      </x:c>
      <x:c r="N54" s="2" t="str">
        <x:f t="shared" si="3"/>
        <x:v>HOT</x:v>
      </x:c>
      <x:c r="O54" s="2" t="s">
        <x:v>551</x:v>
      </x:c>
    </x:row>
    <x:row r="55" ht="55.20000076293945">
      <x:c r="A55" s="2">
        <x:v>17</x:v>
      </x:c>
      <x:c r="B55" s="2">
        <x:v>2</x:v>
      </x:c>
      <x:c r="C55" s="2" t="s">
        <x:v>392</x:v>
      </x:c>
      <x:c r="D55" s="2" t="s">
        <x:v>393</x:v>
      </x:c>
      <x:c r="E55" s="2" t="s">
        <x:v>2</x:v>
      </x:c>
      <x:c r="F55" s="2">
        <x:v>3</x:v>
      </x:c>
      <x:c r="G55" s="2" t="s">
        <x:v>262</x:v>
      </x:c>
      <x:c r="H55" s="2" t="s">
        <x:v>263</x:v>
      </x:c>
      <x:c r="I55" s="2" t="s">
        <x:v>265</x:v>
      </x:c>
      <x:c r="J55" s="2">
        <x:v>89</x:v>
      </x:c>
      <x:c r="K55" s="2">
        <x:v>90</x:v>
      </x:c>
      <x:c r="L55" s="2">
        <x:v>65</x:v>
      </x:c>
      <x:c r="M55" s="2">
        <x:f t="shared" si="2"/>
        <x:v>85.8</x:v>
      </x:c>
      <x:c r="N55" s="2" t="str">
        <x:f t="shared" si="3"/>
        <x:v>HOT</x:v>
      </x:c>
      <x:c r="O55" s="2" t="s">
        <x:v>552</x:v>
      </x:c>
    </x:row>
    <x:row r="56" ht="55.20000076293945">
      <x:c r="A56" s="2">
        <x:v>18</x:v>
      </x:c>
      <x:c r="B56" s="2">
        <x:v>5</x:v>
      </x:c>
      <x:c r="C56" s="2" t="s">
        <x:v>346</x:v>
      </x:c>
      <x:c r="D56" s="2" t="s">
        <x:v>347</x:v>
      </x:c>
      <x:c r="E56" s="2" t="s">
        <x:v>1</x:v>
      </x:c>
      <x:c r="F56" s="2">
        <x:v>1</x:v>
      </x:c>
      <x:c r="G56" s="2" t="s">
        <x:v>145</x:v>
      </x:c>
      <x:c r="H56" s="2" t="s">
        <x:v>146</x:v>
      </x:c>
      <x:c r="I56" s="2" t="s">
        <x:v>148</x:v>
      </x:c>
      <x:c r="J56" s="2">
        <x:v>94</x:v>
      </x:c>
      <x:c r="K56" s="2">
        <x:v>90</x:v>
      </x:c>
      <x:c r="L56" s="2">
        <x:v>90</x:v>
      </x:c>
      <x:c r="M56" s="2">
        <x:f t="shared" si="2"/>
        <x:v>91.8</x:v>
      </x:c>
      <x:c r="N56" s="2" t="str">
        <x:f t="shared" si="3"/>
        <x:v>HOT</x:v>
      </x:c>
      <x:c r="O56" s="2" t="s">
        <x:v>542</x:v>
      </x:c>
    </x:row>
    <x:row r="57" ht="55.20000076293945">
      <x:c r="A57" s="2">
        <x:v>18</x:v>
      </x:c>
      <x:c r="B57" s="2">
        <x:v>5</x:v>
      </x:c>
      <x:c r="C57" s="2" t="s">
        <x:v>346</x:v>
      </x:c>
      <x:c r="D57" s="2" t="s">
        <x:v>347</x:v>
      </x:c>
      <x:c r="E57" s="2" t="s">
        <x:v>1</x:v>
      </x:c>
      <x:c r="F57" s="2">
        <x:v>2</x:v>
      </x:c>
      <x:c r="G57" s="2" t="s">
        <x:v>127</x:v>
      </x:c>
      <x:c r="H57" s="2" t="s">
        <x:v>128</x:v>
      </x:c>
      <x:c r="I57" s="2" t="s">
        <x:v>130</x:v>
      </x:c>
      <x:c r="J57" s="2">
        <x:v>82</x:v>
      </x:c>
      <x:c r="K57" s="2">
        <x:v>100</x:v>
      </x:c>
      <x:c r="L57" s="2">
        <x:v>90</x:v>
      </x:c>
      <x:c r="M57" s="2">
        <x:f t="shared" si="2"/>
        <x:v>90.4</x:v>
      </x:c>
      <x:c r="N57" s="2" t="str">
        <x:f t="shared" si="3"/>
        <x:v>HOT</x:v>
      </x:c>
      <x:c r="O57" s="2" t="s">
        <x:v>541</x:v>
      </x:c>
    </x:row>
    <x:row r="58" ht="41.400001525878906">
      <x:c r="A58" s="2">
        <x:v>18</x:v>
      </x:c>
      <x:c r="B58" s="2">
        <x:v>5</x:v>
      </x:c>
      <x:c r="C58" s="2" t="s">
        <x:v>346</x:v>
      </x:c>
      <x:c r="D58" s="2" t="s">
        <x:v>347</x:v>
      </x:c>
      <x:c r="E58" s="2" t="s">
        <x:v>1</x:v>
      </x:c>
      <x:c r="F58" s="2">
        <x:v>3</x:v>
      </x:c>
      <x:c r="G58" s="2" t="s">
        <x:v>163</x:v>
      </x:c>
      <x:c r="H58" s="2" t="s">
        <x:v>164</x:v>
      </x:c>
      <x:c r="I58" s="2" t="s">
        <x:v>166</x:v>
      </x:c>
      <x:c r="J58" s="2">
        <x:v>90</x:v>
      </x:c>
      <x:c r="K58" s="2">
        <x:v>90</x:v>
      </x:c>
      <x:c r="L58" s="2">
        <x:v>90</x:v>
      </x:c>
      <x:c r="M58" s="2">
        <x:f t="shared" si="2"/>
        <x:v>90</x:v>
      </x:c>
      <x:c r="N58" s="2" t="str">
        <x:f t="shared" si="3"/>
        <x:v>HOT</x:v>
      </x:c>
      <x:c r="O58" s="2" t="s">
        <x:v>553</x:v>
      </x:c>
    </x:row>
    <x:row r="59" ht="55.20000076293945">
      <x:c r="A59" s="2">
        <x:v>19</x:v>
      </x:c>
      <x:c r="B59" s="2">
        <x:v>2</x:v>
      </x:c>
      <x:c r="C59" s="2" t="s">
        <x:v>396</x:v>
      </x:c>
      <x:c r="D59" s="2" t="s">
        <x:v>397</x:v>
      </x:c>
      <x:c r="E59" s="2" t="s">
        <x:v>2</x:v>
      </x:c>
      <x:c r="F59" s="2">
        <x:v>1</x:v>
      </x:c>
      <x:c r="G59" s="2" t="s">
        <x:v>190</x:v>
      </x:c>
      <x:c r="H59" s="2" t="s">
        <x:v>191</x:v>
      </x:c>
      <x:c r="I59" s="2" t="s">
        <x:v>193</x:v>
      </x:c>
      <x:c r="J59" s="2">
        <x:v>93</x:v>
      </x:c>
      <x:c r="K59" s="2">
        <x:v>100</x:v>
      </x:c>
      <x:c r="L59" s="2">
        <x:v>65</x:v>
      </x:c>
      <x:c r="M59" s="2">
        <x:f t="shared" si="2"/>
        <x:v>91.6</x:v>
      </x:c>
      <x:c r="N59" s="2" t="str">
        <x:f t="shared" si="3"/>
        <x:v>HOT</x:v>
      </x:c>
      <x:c r="O59" s="2" t="s">
        <x:v>551</x:v>
      </x:c>
    </x:row>
    <x:row r="60" ht="55.20000076293945">
      <x:c r="A60" s="2">
        <x:v>19</x:v>
      </x:c>
      <x:c r="B60" s="2">
        <x:v>2</x:v>
      </x:c>
      <x:c r="C60" s="2" t="s">
        <x:v>396</x:v>
      </x:c>
      <x:c r="D60" s="2" t="s">
        <x:v>397</x:v>
      </x:c>
      <x:c r="E60" s="2" t="s">
        <x:v>2</x:v>
      </x:c>
      <x:c r="F60" s="2">
        <x:v>2</x:v>
      </x:c>
      <x:c r="G60" s="2" t="s">
        <x:v>145</x:v>
      </x:c>
      <x:c r="H60" s="2" t="s">
        <x:v>146</x:v>
      </x:c>
      <x:c r="I60" s="2" t="s">
        <x:v>148</x:v>
      </x:c>
      <x:c r="J60" s="2">
        <x:v>94</x:v>
      </x:c>
      <x:c r="K60" s="2">
        <x:v>95</x:v>
      </x:c>
      <x:c r="L60" s="2">
        <x:v>65</x:v>
      </x:c>
      <x:c r="M60" s="2">
        <x:f t="shared" si="2"/>
        <x:v>90.1</x:v>
      </x:c>
      <x:c r="N60" s="2" t="str">
        <x:f t="shared" si="3"/>
        <x:v>HOT</x:v>
      </x:c>
      <x:c r="O60" s="2" t="s">
        <x:v>554</x:v>
      </x:c>
    </x:row>
    <x:row r="61" ht="55.20000076293945">
      <x:c r="A61" s="2">
        <x:v>19</x:v>
      </x:c>
      <x:c r="B61" s="2">
        <x:v>2</x:v>
      </x:c>
      <x:c r="C61" s="2" t="s">
        <x:v>396</x:v>
      </x:c>
      <x:c r="D61" s="2" t="s">
        <x:v>397</x:v>
      </x:c>
      <x:c r="E61" s="2" t="s">
        <x:v>2</x:v>
      </x:c>
      <x:c r="F61" s="2">
        <x:v>3</x:v>
      </x:c>
      <x:c r="G61" s="2" t="s">
        <x:v>262</x:v>
      </x:c>
      <x:c r="H61" s="2" t="s">
        <x:v>263</x:v>
      </x:c>
      <x:c r="I61" s="2" t="s">
        <x:v>265</x:v>
      </x:c>
      <x:c r="J61" s="2">
        <x:v>89</x:v>
      </x:c>
      <x:c r="K61" s="2">
        <x:v>90</x:v>
      </x:c>
      <x:c r="L61" s="2">
        <x:v>65</x:v>
      </x:c>
      <x:c r="M61" s="2">
        <x:f t="shared" si="2"/>
        <x:v>85.8</x:v>
      </x:c>
      <x:c r="N61" s="2" t="str">
        <x:f t="shared" si="3"/>
        <x:v>HOT</x:v>
      </x:c>
      <x:c r="O61" s="2" t="s">
        <x:v>552</x:v>
      </x:c>
    </x:row>
    <x:row r="62" ht="55.20000076293945">
      <x:c r="A62" s="2">
        <x:v>20</x:v>
      </x:c>
      <x:c r="B62" s="2">
        <x:v>2</x:v>
      </x:c>
      <x:c r="C62" s="2" t="s">
        <x:v>404</x:v>
      </x:c>
      <x:c r="D62" s="2" t="s">
        <x:v>405</x:v>
      </x:c>
      <x:c r="E62" s="2" t="s">
        <x:v>2</x:v>
      </x:c>
      <x:c r="F62" s="2">
        <x:v>1</x:v>
      </x:c>
      <x:c r="G62" s="2" t="s">
        <x:v>190</x:v>
      </x:c>
      <x:c r="H62" s="2" t="s">
        <x:v>191</x:v>
      </x:c>
      <x:c r="I62" s="2" t="s">
        <x:v>193</x:v>
      </x:c>
      <x:c r="J62" s="2">
        <x:v>93</x:v>
      </x:c>
      <x:c r="K62" s="2">
        <x:v>100</x:v>
      </x:c>
      <x:c r="L62" s="2">
        <x:v>65</x:v>
      </x:c>
      <x:c r="M62" s="2">
        <x:f t="shared" si="2"/>
        <x:v>91.6</x:v>
      </x:c>
      <x:c r="N62" s="2" t="str">
        <x:f t="shared" si="3"/>
        <x:v>HOT</x:v>
      </x:c>
      <x:c r="O62" s="2" t="s">
        <x:v>551</x:v>
      </x:c>
    </x:row>
    <x:row r="63" ht="55.20000076293945">
      <x:c r="A63" s="2">
        <x:v>20</x:v>
      </x:c>
      <x:c r="B63" s="2">
        <x:v>2</x:v>
      </x:c>
      <x:c r="C63" s="2" t="s">
        <x:v>404</x:v>
      </x:c>
      <x:c r="D63" s="2" t="s">
        <x:v>405</x:v>
      </x:c>
      <x:c r="E63" s="2" t="s">
        <x:v>2</x:v>
      </x:c>
      <x:c r="F63" s="2">
        <x:v>2</x:v>
      </x:c>
      <x:c r="G63" s="2" t="s">
        <x:v>145</x:v>
      </x:c>
      <x:c r="H63" s="2" t="s">
        <x:v>146</x:v>
      </x:c>
      <x:c r="I63" s="2" t="s">
        <x:v>148</x:v>
      </x:c>
      <x:c r="J63" s="2">
        <x:v>94</x:v>
      </x:c>
      <x:c r="K63" s="2">
        <x:v>98</x:v>
      </x:c>
      <x:c r="L63" s="2">
        <x:v>65</x:v>
      </x:c>
      <x:c r="M63" s="2">
        <x:f t="shared" si="2"/>
        <x:v>91.3</x:v>
      </x:c>
      <x:c r="N63" s="2" t="str">
        <x:f t="shared" si="3"/>
        <x:v>HOT</x:v>
      </x:c>
      <x:c r="O63" s="2" t="s">
        <x:v>532</x:v>
      </x:c>
    </x:row>
    <x:row r="64" ht="55.20000076293945">
      <x:c r="A64" s="2">
        <x:v>20</x:v>
      </x:c>
      <x:c r="B64" s="2">
        <x:v>2</x:v>
      </x:c>
      <x:c r="C64" s="2" t="s">
        <x:v>404</x:v>
      </x:c>
      <x:c r="D64" s="2" t="s">
        <x:v>405</x:v>
      </x:c>
      <x:c r="E64" s="2" t="s">
        <x:v>2</x:v>
      </x:c>
      <x:c r="F64" s="2">
        <x:v>3</x:v>
      </x:c>
      <x:c r="G64" s="2" t="s">
        <x:v>262</x:v>
      </x:c>
      <x:c r="H64" s="2" t="s">
        <x:v>263</x:v>
      </x:c>
      <x:c r="I64" s="2" t="s">
        <x:v>265</x:v>
      </x:c>
      <x:c r="J64" s="2">
        <x:v>89</x:v>
      </x:c>
      <x:c r="K64" s="2">
        <x:v>90</x:v>
      </x:c>
      <x:c r="L64" s="2">
        <x:v>65</x:v>
      </x:c>
      <x:c r="M64" s="2">
        <x:f t="shared" si="2"/>
        <x:v>85.8</x:v>
      </x:c>
      <x:c r="N64" s="2" t="str">
        <x:f t="shared" si="3"/>
        <x:v>HOT</x:v>
      </x:c>
      <x:c r="O64" s="2" t="s">
        <x:v>552</x:v>
      </x:c>
    </x:row>
    <x:row r="65" ht="55.20000076293945">
      <x:c r="A65" s="2">
        <x:v>21</x:v>
      </x:c>
      <x:c r="B65" s="2">
        <x:v>2</x:v>
      </x:c>
      <x:c r="C65" s="2" t="s">
        <x:v>412</x:v>
      </x:c>
      <x:c r="D65" s="2" t="s">
        <x:v>413</x:v>
      </x:c>
      <x:c r="E65" s="2" t="s">
        <x:v>2</x:v>
      </x:c>
      <x:c r="F65" s="2">
        <x:v>1</x:v>
      </x:c>
      <x:c r="G65" s="2" t="s">
        <x:v>190</x:v>
      </x:c>
      <x:c r="H65" s="2" t="s">
        <x:v>191</x:v>
      </x:c>
      <x:c r="I65" s="2" t="s">
        <x:v>193</x:v>
      </x:c>
      <x:c r="J65" s="2">
        <x:v>93</x:v>
      </x:c>
      <x:c r="K65" s="2">
        <x:v>100</x:v>
      </x:c>
      <x:c r="L65" s="2">
        <x:v>65</x:v>
      </x:c>
      <x:c r="M65" s="2">
        <x:f t="shared" si="2"/>
        <x:v>91.6</x:v>
      </x:c>
      <x:c r="N65" s="2" t="str">
        <x:f t="shared" si="3"/>
        <x:v>HOT</x:v>
      </x:c>
      <x:c r="O65" s="2" t="s">
        <x:v>551</x:v>
      </x:c>
    </x:row>
    <x:row r="66" ht="55.20000076293945">
      <x:c r="A66" s="2">
        <x:v>21</x:v>
      </x:c>
      <x:c r="B66" s="2">
        <x:v>2</x:v>
      </x:c>
      <x:c r="C66" s="2" t="s">
        <x:v>412</x:v>
      </x:c>
      <x:c r="D66" s="2" t="s">
        <x:v>413</x:v>
      </x:c>
      <x:c r="E66" s="2" t="s">
        <x:v>2</x:v>
      </x:c>
      <x:c r="F66" s="2">
        <x:v>2</x:v>
      </x:c>
      <x:c r="G66" s="2" t="s">
        <x:v>145</x:v>
      </x:c>
      <x:c r="H66" s="2" t="s">
        <x:v>146</x:v>
      </x:c>
      <x:c r="I66" s="2" t="s">
        <x:v>148</x:v>
      </x:c>
      <x:c r="J66" s="2">
        <x:v>94</x:v>
      </x:c>
      <x:c r="K66" s="2">
        <x:v>98</x:v>
      </x:c>
      <x:c r="L66" s="2">
        <x:v>65</x:v>
      </x:c>
      <x:c r="M66" s="2">
        <x:f t="shared" si="2"/>
        <x:v>91.3</x:v>
      </x:c>
      <x:c r="N66" s="2" t="str">
        <x:f t="shared" si="3"/>
        <x:v>HOT</x:v>
      </x:c>
      <x:c r="O66" s="2" t="s">
        <x:v>532</x:v>
      </x:c>
    </x:row>
    <x:row r="67" ht="55.20000076293945">
      <x:c r="A67" s="2">
        <x:v>21</x:v>
      </x:c>
      <x:c r="B67" s="2">
        <x:v>2</x:v>
      </x:c>
      <x:c r="C67" s="2" t="s">
        <x:v>412</x:v>
      </x:c>
      <x:c r="D67" s="2" t="s">
        <x:v>413</x:v>
      </x:c>
      <x:c r="E67" s="2" t="s">
        <x:v>2</x:v>
      </x:c>
      <x:c r="F67" s="2">
        <x:v>3</x:v>
      </x:c>
      <x:c r="G67" s="2" t="s">
        <x:v>262</x:v>
      </x:c>
      <x:c r="H67" s="2" t="s">
        <x:v>263</x:v>
      </x:c>
      <x:c r="I67" s="2" t="s">
        <x:v>265</x:v>
      </x:c>
      <x:c r="J67" s="2">
        <x:v>89</x:v>
      </x:c>
      <x:c r="K67" s="2">
        <x:v>94</x:v>
      </x:c>
      <x:c r="L67" s="2">
        <x:v>65</x:v>
      </x:c>
      <x:c r="M67" s="2">
        <x:f t="shared" si="2"/>
        <x:v>87.4</x:v>
      </x:c>
      <x:c r="N67" s="2" t="str">
        <x:f t="shared" si="3"/>
        <x:v>HOT</x:v>
      </x:c>
      <x:c r="O67" s="2" t="s">
        <x:v>555</x:v>
      </x:c>
    </x:row>
    <x:row r="68" ht="55.20000076293945">
      <x:c r="A68" s="2">
        <x:v>22</x:v>
      </x:c>
      <x:c r="B68" s="2">
        <x:v>5</x:v>
      </x:c>
      <x:c r="C68" s="2" t="s">
        <x:v>322</x:v>
      </x:c>
      <x:c r="D68" s="2" t="s">
        <x:v>323</x:v>
      </x:c>
      <x:c r="E68" s="2" t="s">
        <x:v>1</x:v>
      </x:c>
      <x:c r="F68" s="2">
        <x:v>1</x:v>
      </x:c>
      <x:c r="G68" s="2" t="s">
        <x:v>127</x:v>
      </x:c>
      <x:c r="H68" s="2" t="s">
        <x:v>128</x:v>
      </x:c>
      <x:c r="I68" s="2" t="s">
        <x:v>130</x:v>
      </x:c>
      <x:c r="J68" s="2">
        <x:v>82</x:v>
      </x:c>
      <x:c r="K68" s="2">
        <x:v>100</x:v>
      </x:c>
      <x:c r="L68" s="2">
        <x:v>90</x:v>
      </x:c>
      <x:c r="M68" s="2">
        <x:f t="shared" si="2"/>
        <x:v>90.4</x:v>
      </x:c>
      <x:c r="N68" s="2" t="str">
        <x:f t="shared" si="3"/>
        <x:v>HOT</x:v>
      </x:c>
      <x:c r="O68" s="2" t="s">
        <x:v>541</x:v>
      </x:c>
    </x:row>
    <x:row r="69" ht="55.20000076293945">
      <x:c r="A69" s="2">
        <x:v>22</x:v>
      </x:c>
      <x:c r="B69" s="2">
        <x:v>5</x:v>
      </x:c>
      <x:c r="C69" s="2" t="s">
        <x:v>322</x:v>
      </x:c>
      <x:c r="D69" s="2" t="s">
        <x:v>323</x:v>
      </x:c>
      <x:c r="E69" s="2" t="s">
        <x:v>1</x:v>
      </x:c>
      <x:c r="F69" s="2">
        <x:v>2</x:v>
      </x:c>
      <x:c r="G69" s="2" t="s">
        <x:v>298</x:v>
      </x:c>
      <x:c r="H69" s="2" t="s">
        <x:v>299</x:v>
      </x:c>
      <x:c r="I69" s="2" t="s">
        <x:v>301</x:v>
      </x:c>
      <x:c r="J69" s="2">
        <x:v>81</x:v>
      </x:c>
      <x:c r="K69" s="2">
        <x:v>100</x:v>
      </x:c>
      <x:c r="L69" s="2">
        <x:v>90</x:v>
      </x:c>
      <x:c r="M69" s="2" t="n">
        <x:f t="shared" ref="M69:M82" si="4">ROUND(J69*0.45+K69*0.4+L69*0.15,1)</x:f>
        <x:v>90</x:v>
      </x:c>
      <x:c r="N69" s="2" t="str">
        <x:f t="shared" ref="N69:N82" si="5">IF(M69&gt;=80,"HOT",IF(M69&gt;=60,"WARM","COLD"))</x:f>
        <x:v>HOT</x:v>
      </x:c>
      <x:c r="O69" s="2" t="s">
        <x:v>556</x:v>
      </x:c>
    </x:row>
    <x:row r="70" ht="55.20000076293945">
      <x:c r="A70" s="2">
        <x:v>22</x:v>
      </x:c>
      <x:c r="B70" s="2">
        <x:v>5</x:v>
      </x:c>
      <x:c r="C70" s="2" t="s">
        <x:v>322</x:v>
      </x:c>
      <x:c r="D70" s="2" t="s">
        <x:v>323</x:v>
      </x:c>
      <x:c r="E70" s="2" t="s">
        <x:v>1</x:v>
      </x:c>
      <x:c r="F70" s="2">
        <x:v>3</x:v>
      </x:c>
      <x:c r="G70" s="2" t="s">
        <x:v>262</x:v>
      </x:c>
      <x:c r="H70" s="2" t="s">
        <x:v>263</x:v>
      </x:c>
      <x:c r="I70" s="2" t="s">
        <x:v>265</x:v>
      </x:c>
      <x:c r="J70" s="2">
        <x:v>89</x:v>
      </x:c>
      <x:c r="K70" s="2">
        <x:v>85</x:v>
      </x:c>
      <x:c r="L70" s="2">
        <x:v>90</x:v>
      </x:c>
      <x:c r="M70" s="2">
        <x:f t="shared" si="4"/>
        <x:v>87.6</x:v>
      </x:c>
      <x:c r="N70" s="2" t="str">
        <x:f t="shared" si="5"/>
        <x:v>HOT</x:v>
      </x:c>
      <x:c r="O70" s="2" t="s">
        <x:v>557</x:v>
      </x:c>
    </x:row>
    <x:row r="71" ht="55.20000076293945">
      <x:c r="A71" s="2">
        <x:v>23</x:v>
      </x:c>
      <x:c r="B71" s="2">
        <x:v>5</x:v>
      </x:c>
      <x:c r="C71" s="2" t="s">
        <x:v>338</x:v>
      </x:c>
      <x:c r="D71" s="2" t="s">
        <x:v>339</x:v>
      </x:c>
      <x:c r="E71" s="2" t="s">
        <x:v>1</x:v>
      </x:c>
      <x:c r="F71" s="2">
        <x:v>1</x:v>
      </x:c>
      <x:c r="G71" s="2" t="s">
        <x:v>127</x:v>
      </x:c>
      <x:c r="H71" s="2" t="s">
        <x:v>128</x:v>
      </x:c>
      <x:c r="I71" s="2" t="s">
        <x:v>130</x:v>
      </x:c>
      <x:c r="J71" s="2">
        <x:v>82</x:v>
      </x:c>
      <x:c r="K71" s="2">
        <x:v>100</x:v>
      </x:c>
      <x:c r="L71" s="2">
        <x:v>90</x:v>
      </x:c>
      <x:c r="M71" s="2">
        <x:f t="shared" si="4"/>
        <x:v>90.4</x:v>
      </x:c>
      <x:c r="N71" s="2" t="str">
        <x:f t="shared" si="5"/>
        <x:v>HOT</x:v>
      </x:c>
      <x:c r="O71" s="2" t="s">
        <x:v>541</x:v>
      </x:c>
    </x:row>
    <x:row r="72" ht="55.20000076293945">
      <x:c r="A72" s="2">
        <x:v>23</x:v>
      </x:c>
      <x:c r="B72" s="2">
        <x:v>5</x:v>
      </x:c>
      <x:c r="C72" s="2" t="s">
        <x:v>338</x:v>
      </x:c>
      <x:c r="D72" s="2" t="s">
        <x:v>339</x:v>
      </x:c>
      <x:c r="E72" s="2" t="s">
        <x:v>1</x:v>
      </x:c>
      <x:c r="F72" s="2">
        <x:v>2</x:v>
      </x:c>
      <x:c r="G72" s="2" t="s">
        <x:v>55</x:v>
      </x:c>
      <x:c r="H72" s="2" t="s">
        <x:v>56</x:v>
      </x:c>
      <x:c r="I72" s="2" t="s">
        <x:v>58</x:v>
      </x:c>
      <x:c r="J72" s="2">
        <x:v>90</x:v>
      </x:c>
      <x:c r="K72" s="2">
        <x:v>90</x:v>
      </x:c>
      <x:c r="L72" s="2">
        <x:v>90</x:v>
      </x:c>
      <x:c r="M72" s="2">
        <x:f t="shared" si="4"/>
        <x:v>90</x:v>
      </x:c>
      <x:c r="N72" s="2" t="str">
        <x:f t="shared" si="5"/>
        <x:v>HOT</x:v>
      </x:c>
      <x:c r="O72" s="2" t="s">
        <x:v>558</x:v>
      </x:c>
    </x:row>
    <x:row r="73" ht="55.20000076293945">
      <x:c r="A73" s="2">
        <x:v>23</x:v>
      </x:c>
      <x:c r="B73" s="2">
        <x:v>5</x:v>
      </x:c>
      <x:c r="C73" s="2" t="s">
        <x:v>338</x:v>
      </x:c>
      <x:c r="D73" s="2" t="s">
        <x:v>339</x:v>
      </x:c>
      <x:c r="E73" s="2" t="s">
        <x:v>1</x:v>
      </x:c>
      <x:c r="F73" s="2">
        <x:v>3</x:v>
      </x:c>
      <x:c r="G73" s="2" t="s">
        <x:v>298</x:v>
      </x:c>
      <x:c r="H73" s="2" t="s">
        <x:v>299</x:v>
      </x:c>
      <x:c r="I73" s="2" t="s">
        <x:v>301</x:v>
      </x:c>
      <x:c r="J73" s="2">
        <x:v>81</x:v>
      </x:c>
      <x:c r="K73" s="2">
        <x:v>100</x:v>
      </x:c>
      <x:c r="L73" s="2">
        <x:v>90</x:v>
      </x:c>
      <x:c r="M73" s="2">
        <x:f t="shared" si="4"/>
        <x:v>90</x:v>
      </x:c>
      <x:c r="N73" s="2" t="str">
        <x:f t="shared" si="5"/>
        <x:v>HOT</x:v>
      </x:c>
      <x:c r="O73" s="2" t="s">
        <x:v>556</x:v>
      </x:c>
    </x:row>
    <x:row r="74" ht="55.20000076293945">
      <x:c r="A74" s="2">
        <x:v>24</x:v>
      </x:c>
      <x:c r="B74" s="2">
        <x:v>5</x:v>
      </x:c>
      <x:c r="C74" s="2" t="s">
        <x:v>326</x:v>
      </x:c>
      <x:c r="D74" s="2" t="s">
        <x:v>327</x:v>
      </x:c>
      <x:c r="E74" s="2" t="s">
        <x:v>2</x:v>
      </x:c>
      <x:c r="F74" s="2">
        <x:v>1</x:v>
      </x:c>
      <x:c r="G74" s="2" t="s">
        <x:v>55</x:v>
      </x:c>
      <x:c r="H74" s="2" t="s">
        <x:v>56</x:v>
      </x:c>
      <x:c r="I74" s="2" t="s">
        <x:v>58</x:v>
      </x:c>
      <x:c r="J74" s="2">
        <x:v>90</x:v>
      </x:c>
      <x:c r="K74" s="2">
        <x:v>100</x:v>
      </x:c>
      <x:c r="L74" s="2">
        <x:v>65</x:v>
      </x:c>
      <x:c r="M74" s="2">
        <x:f t="shared" si="4"/>
        <x:v>90.3</x:v>
      </x:c>
      <x:c r="N74" s="2" t="str">
        <x:f t="shared" si="5"/>
        <x:v>HOT</x:v>
      </x:c>
      <x:c r="O74" s="2" t="s">
        <x:v>539</x:v>
      </x:c>
    </x:row>
    <x:row r="75" ht="55.20000076293945">
      <x:c r="A75" s="2">
        <x:v>24</x:v>
      </x:c>
      <x:c r="B75" s="2">
        <x:v>5</x:v>
      </x:c>
      <x:c r="C75" s="2" t="s">
        <x:v>326</x:v>
      </x:c>
      <x:c r="D75" s="2" t="s">
        <x:v>327</x:v>
      </x:c>
      <x:c r="E75" s="2" t="s">
        <x:v>2</x:v>
      </x:c>
      <x:c r="F75" s="2">
        <x:v>2</x:v>
      </x:c>
      <x:c r="G75" s="2" t="s">
        <x:v>127</x:v>
      </x:c>
      <x:c r="H75" s="2" t="s">
        <x:v>128</x:v>
      </x:c>
      <x:c r="I75" s="2" t="s">
        <x:v>130</x:v>
      </x:c>
      <x:c r="J75" s="2">
        <x:v>82</x:v>
      </x:c>
      <x:c r="K75" s="2">
        <x:v>100</x:v>
      </x:c>
      <x:c r="L75" s="2">
        <x:v>65</x:v>
      </x:c>
      <x:c r="M75" s="2">
        <x:f t="shared" si="4"/>
        <x:v>86.7</x:v>
      </x:c>
      <x:c r="N75" s="2" t="str">
        <x:f t="shared" si="5"/>
        <x:v>HOT</x:v>
      </x:c>
      <x:c r="O75" s="2" t="s">
        <x:v>541</x:v>
      </x:c>
    </x:row>
    <x:row r="76" ht="41.400001525878906">
      <x:c r="A76" s="2">
        <x:v>24</x:v>
      </x:c>
      <x:c r="B76" s="2">
        <x:v>5</x:v>
      </x:c>
      <x:c r="C76" s="2" t="s">
        <x:v>326</x:v>
      </x:c>
      <x:c r="D76" s="2" t="s">
        <x:v>327</x:v>
      </x:c>
      <x:c r="E76" s="2" t="s">
        <x:v>2</x:v>
      </x:c>
      <x:c r="F76" s="2">
        <x:v>3</x:v>
      </x:c>
      <x:c r="G76" s="2" t="s">
        <x:v>163</x:v>
      </x:c>
      <x:c r="H76" s="2" t="s">
        <x:v>164</x:v>
      </x:c>
      <x:c r="I76" s="2" t="s">
        <x:v>166</x:v>
      </x:c>
      <x:c r="J76" s="2">
        <x:v>90</x:v>
      </x:c>
      <x:c r="K76" s="2">
        <x:v>90</x:v>
      </x:c>
      <x:c r="L76" s="2">
        <x:v>65</x:v>
      </x:c>
      <x:c r="M76" s="2">
        <x:f t="shared" si="4"/>
        <x:v>86.3</x:v>
      </x:c>
      <x:c r="N76" s="2" t="str">
        <x:f t="shared" si="5"/>
        <x:v>HOT</x:v>
      </x:c>
      <x:c r="O76" s="2" t="s">
        <x:v>553</x:v>
      </x:c>
    </x:row>
    <x:row r="77" ht="55.20000076293945">
      <x:c r="A77" s="2">
        <x:v>25</x:v>
      </x:c>
      <x:c r="B77" s="2">
        <x:v>1</x:v>
      </x:c>
      <x:c r="C77" s="2" t="s">
        <x:v>418</x:v>
      </x:c>
      <x:c r="D77" s="2" t="s">
        <x:v>419</x:v>
      </x:c>
      <x:c r="E77" s="2" t="s">
        <x:v>3</x:v>
      </x:c>
      <x:c r="F77" s="2">
        <x:v>1</x:v>
      </x:c>
      <x:c r="G77" s="2" t="s">
        <x:v>271</x:v>
      </x:c>
      <x:c r="H77" s="2" t="s">
        <x:v>272</x:v>
      </x:c>
      <x:c r="I77" s="2" t="s">
        <x:v>274</x:v>
      </x:c>
      <x:c r="J77" s="2">
        <x:v>98</x:v>
      </x:c>
      <x:c r="K77" s="2">
        <x:v>100</x:v>
      </x:c>
      <x:c r="L77" s="2">
        <x:v>35</x:v>
      </x:c>
      <x:c r="M77" s="2">
        <x:f t="shared" si="4"/>
        <x:v>89.4</x:v>
      </x:c>
      <x:c r="N77" s="2" t="str">
        <x:f t="shared" si="5"/>
        <x:v>HOT</x:v>
      </x:c>
      <x:c r="O77" s="2" t="s">
        <x:v>559</x:v>
      </x:c>
    </x:row>
    <x:row r="78" ht="55.20000076293945">
      <x:c r="A78" s="2">
        <x:v>25</x:v>
      </x:c>
      <x:c r="B78" s="2">
        <x:v>1</x:v>
      </x:c>
      <x:c r="C78" s="2" t="s">
        <x:v>418</x:v>
      </x:c>
      <x:c r="D78" s="2" t="s">
        <x:v>419</x:v>
      </x:c>
      <x:c r="E78" s="2" t="s">
        <x:v>3</x:v>
      </x:c>
      <x:c r="F78" s="2">
        <x:v>2</x:v>
      </x:c>
      <x:c r="G78" s="2" t="s">
        <x:v>100</x:v>
      </x:c>
      <x:c r="H78" s="2" t="s">
        <x:v>101</x:v>
      </x:c>
      <x:c r="I78" s="2" t="s">
        <x:v>103</x:v>
      </x:c>
      <x:c r="J78" s="2">
        <x:v>94</x:v>
      </x:c>
      <x:c r="K78" s="2">
        <x:v>100</x:v>
      </x:c>
      <x:c r="L78" s="2">
        <x:v>35</x:v>
      </x:c>
      <x:c r="M78" s="2">
        <x:f t="shared" si="4"/>
        <x:v>87.6</x:v>
      </x:c>
      <x:c r="N78" s="2" t="str">
        <x:f t="shared" si="5"/>
        <x:v>HOT</x:v>
      </x:c>
      <x:c r="O78" s="2" t="s">
        <x:v>548</x:v>
      </x:c>
    </x:row>
    <x:row r="79" ht="55.20000076293945">
      <x:c r="A79" s="2">
        <x:v>25</x:v>
      </x:c>
      <x:c r="B79" s="2">
        <x:v>1</x:v>
      </x:c>
      <x:c r="C79" s="2" t="s">
        <x:v>418</x:v>
      </x:c>
      <x:c r="D79" s="2" t="s">
        <x:v>419</x:v>
      </x:c>
      <x:c r="E79" s="2" t="s">
        <x:v>3</x:v>
      </x:c>
      <x:c r="F79" s="2">
        <x:v>3</x:v>
      </x:c>
      <x:c r="G79" s="2" t="s">
        <x:v>73</x:v>
      </x:c>
      <x:c r="H79" s="2" t="s">
        <x:v>74</x:v>
      </x:c>
      <x:c r="I79" s="2" t="s">
        <x:v>76</x:v>
      </x:c>
      <x:c r="J79" s="2">
        <x:v>83</x:v>
      </x:c>
      <x:c r="K79" s="2">
        <x:v>93</x:v>
      </x:c>
      <x:c r="L79" s="2">
        <x:v>35</x:v>
      </x:c>
      <x:c r="M79" s="2">
        <x:f t="shared" si="4"/>
        <x:v>79.8</x:v>
      </x:c>
      <x:c r="N79" s="2" t="str">
        <x:f t="shared" si="5"/>
        <x:v>WARM</x:v>
      </x:c>
      <x:c r="O79" s="2" t="s">
        <x:v>560</x:v>
      </x:c>
    </x:row>
    <x:row r="80" ht="55.20000076293945">
      <x:c r="A80" s="2">
        <x:v>26</x:v>
      </x:c>
      <x:c r="B80" s="2">
        <x:v>1</x:v>
      </x:c>
      <x:c r="C80" s="2" t="s">
        <x:v>426</x:v>
      </x:c>
      <x:c r="D80" s="2" t="s">
        <x:v>427</x:v>
      </x:c>
      <x:c r="E80" s="2" t="s">
        <x:v>3</x:v>
      </x:c>
      <x:c r="F80" s="2">
        <x:v>1</x:v>
      </x:c>
      <x:c r="G80" s="2" t="s">
        <x:v>271</x:v>
      </x:c>
      <x:c r="H80" s="2" t="s">
        <x:v>272</x:v>
      </x:c>
      <x:c r="I80" s="2" t="s">
        <x:v>274</x:v>
      </x:c>
      <x:c r="J80" s="2">
        <x:v>98</x:v>
      </x:c>
      <x:c r="K80" s="2">
        <x:v>98</x:v>
      </x:c>
      <x:c r="L80" s="2">
        <x:v>35</x:v>
      </x:c>
      <x:c r="M80" s="2">
        <x:f t="shared" si="4"/>
        <x:v>88.6</x:v>
      </x:c>
      <x:c r="N80" s="2" t="str">
        <x:f t="shared" si="5"/>
        <x:v>HOT</x:v>
      </x:c>
      <x:c r="O80" s="2" t="s">
        <x:v>561</x:v>
      </x:c>
    </x:row>
    <x:row r="81" ht="55.20000076293945">
      <x:c r="A81" s="2">
        <x:v>26</x:v>
      </x:c>
      <x:c r="B81" s="2">
        <x:v>1</x:v>
      </x:c>
      <x:c r="C81" s="2" t="s">
        <x:v>426</x:v>
      </x:c>
      <x:c r="D81" s="2" t="s">
        <x:v>427</x:v>
      </x:c>
      <x:c r="E81" s="2" t="s">
        <x:v>3</x:v>
      </x:c>
      <x:c r="F81" s="2">
        <x:v>2</x:v>
      </x:c>
      <x:c r="G81" s="2" t="s">
        <x:v>100</x:v>
      </x:c>
      <x:c r="H81" s="2" t="s">
        <x:v>101</x:v>
      </x:c>
      <x:c r="I81" s="2" t="s">
        <x:v>103</x:v>
      </x:c>
      <x:c r="J81" s="2">
        <x:v>94</x:v>
      </x:c>
      <x:c r="K81" s="2">
        <x:v>100</x:v>
      </x:c>
      <x:c r="L81" s="2">
        <x:v>35</x:v>
      </x:c>
      <x:c r="M81" s="2">
        <x:f t="shared" si="4"/>
        <x:v>87.6</x:v>
      </x:c>
      <x:c r="N81" s="2" t="str">
        <x:f t="shared" si="5"/>
        <x:v>HOT</x:v>
      </x:c>
      <x:c r="O81" s="2" t="s">
        <x:v>548</x:v>
      </x:c>
    </x:row>
    <x:row r="82" ht="55.20000076293945">
      <x:c r="A82" s="2">
        <x:v>26</x:v>
      </x:c>
      <x:c r="B82" s="2">
        <x:v>1</x:v>
      </x:c>
      <x:c r="C82" s="2" t="s">
        <x:v>426</x:v>
      </x:c>
      <x:c r="D82" s="2" t="s">
        <x:v>427</x:v>
      </x:c>
      <x:c r="E82" s="2" t="s">
        <x:v>3</x:v>
      </x:c>
      <x:c r="F82" s="2">
        <x:v>3</x:v>
      </x:c>
      <x:c r="G82" s="2" t="s">
        <x:v>73</x:v>
      </x:c>
      <x:c r="H82" s="2" t="s">
        <x:v>74</x:v>
      </x:c>
      <x:c r="I82" s="2" t="s">
        <x:v>76</x:v>
      </x:c>
      <x:c r="J82" s="2">
        <x:v>83</x:v>
      </x:c>
      <x:c r="K82" s="2">
        <x:v>90</x:v>
      </x:c>
      <x:c r="L82" s="2">
        <x:v>35</x:v>
      </x:c>
      <x:c r="M82" s="2">
        <x:f t="shared" si="4"/>
        <x:v>78.599999999999994</x:v>
      </x:c>
      <x:c r="N82" s="2" t="str">
        <x:f t="shared" si="5"/>
        <x:v>WARM</x:v>
      </x:c>
      <x:c r="O82" s="2" t="s">
        <x:v>562</x:v>
      </x:c>
    </x:row>
  </x:sheetData>
  <x:mergeCells>
    <x:mergeCell ref="A1:O1"/>
    <x:mergeCell ref="A2:O2"/>
  </x:mergeCells>
  <x:conditionalFormatting sqref="M5:M82">
    <x:cfRule type="dataBar" priority="1">
      <x:dataBar>
        <x:cfvo type="min"/>
        <x:cfvo type="max"/>
        <x:color rgb="FF5B9BD5"/>
      </x:dataBar>
    </x:cfRule>
    <x:cfRule type="dataBar" priority="5">
      <x:dataBar>
        <x:cfvo type="min"/>
        <x:cfvo type="max"/>
        <x:color rgb="FF5B9BD5"/>
      </x:dataBar>
    </x:cfRule>
    <x:cfRule type="dataBar" priority="6">
      <x:dataBar>
        <x:cfvo type="min"/>
        <x:cfvo type="max"/>
        <x:color rgb="FF5B9BD5"/>
      </x:dataBar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{4B8A1D77-3A0E-97EC-0C04-8E933019D863}</x14:id>
        </x:ext>
      </x:extLst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{A9530292-3BDE-C40D-2A2C-0BB91F84E10E}</x14:id>
        </x:ext>
      </x:extLst>
    </x:cfRule>
  </x:conditionalFormatting>
  <x:conditionalFormatting sqref="N5:N82">
    <x:cfRule type="expression" dxfId="34" priority="2">
      <x:formula>N5="HOT"</x:formula>
    </x:cfRule>
    <x:cfRule type="expression" dxfId="33" priority="3">
      <x:formula>N5="WARM"</x:formula>
    </x:cfRule>
    <x:cfRule type="expression" dxfId="32" priority="4">
      <x:formula>N5="COLD"</x:formula>
    </x:cfRule>
    <x:cfRule type="expression" dxfId="31" priority="7">
      <x:formula>N5="HOT"</x:formula>
    </x:cfRule>
    <x:cfRule type="expression" dxfId="30" priority="8">
      <x:formula>N5="WARM"</x:formula>
    </x:cfRule>
    <x:cfRule type="expression" dxfId="29" priority="9">
      <x:formula>N5="COLD"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37e5817e2b4c3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4B8A1D77-3A0E-97EC-0C04-8E933019D863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14:cfRule type="dataBar" priority="10" id="{A9530292-3BDE-C40D-2A2C-0BB91F84E10E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M5:M82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8" customWidth="1"/>
    <x:col min="3" max="33" width="15" customWidth="1"/>
  </x:cols>
  <x:sheetData>
    <x:row r="1" ht="21">
      <x:c r="A1" s="44" t="s">
        <x:v>563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35"/>
      <x:c r="AF1" s="35"/>
      <x:c r="AG1" s="35"/>
    </x:row>
    <x:row r="2" ht="14.399999618530273">
      <x:c r="A2" s="43" t="s">
        <x:v>564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</x:row>
    <x:row r="4" ht="41.400001525878906">
      <x:c r="A4" s="36" t="s">
        <x:v>312</x:v>
      </x:c>
      <x:c r="B4" s="36" t="s">
        <x:v>519</x:v>
      </x:c>
      <x:c r="C4" s="36" t="s">
        <x:v>565</x:v>
      </x:c>
      <x:c r="D4" s="36" t="s">
        <x:v>566</x:v>
      </x:c>
      <x:c r="E4" s="36" t="s">
        <x:v>567</x:v>
      </x:c>
      <x:c r="F4" s="36" t="s">
        <x:v>568</x:v>
      </x:c>
      <x:c r="G4" s="36" t="s">
        <x:v>569</x:v>
      </x:c>
      <x:c r="H4" s="36" t="s">
        <x:v>570</x:v>
      </x:c>
      <x:c r="I4" s="36" t="s">
        <x:v>571</x:v>
      </x:c>
      <x:c r="J4" s="36" t="s">
        <x:v>572</x:v>
      </x:c>
      <x:c r="K4" s="36" t="s">
        <x:v>573</x:v>
      </x:c>
      <x:c r="L4" s="36" t="s">
        <x:v>574</x:v>
      </x:c>
      <x:c r="M4" s="36" t="s">
        <x:v>575</x:v>
      </x:c>
      <x:c r="N4" s="36" t="s">
        <x:v>576</x:v>
      </x:c>
      <x:c r="O4" s="36" t="s">
        <x:v>577</x:v>
      </x:c>
      <x:c r="P4" s="36" t="s">
        <x:v>578</x:v>
      </x:c>
      <x:c r="Q4" s="36" t="s">
        <x:v>579</x:v>
      </x:c>
      <x:c r="R4" s="36" t="s">
        <x:v>580</x:v>
      </x:c>
      <x:c r="S4" s="36" t="s">
        <x:v>581</x:v>
      </x:c>
      <x:c r="T4" s="36" t="s">
        <x:v>582</x:v>
      </x:c>
      <x:c r="U4" s="36" t="s">
        <x:v>583</x:v>
      </x:c>
      <x:c r="V4" s="36" t="s">
        <x:v>584</x:v>
      </x:c>
      <x:c r="W4" s="36" t="s">
        <x:v>585</x:v>
      </x:c>
      <x:c r="X4" s="36" t="s">
        <x:v>586</x:v>
      </x:c>
      <x:c r="Y4" s="36" t="s">
        <x:v>587</x:v>
      </x:c>
      <x:c r="Z4" s="36" t="s">
        <x:v>588</x:v>
      </x:c>
      <x:c r="AA4" s="36" t="s">
        <x:v>589</x:v>
      </x:c>
      <x:c r="AB4" s="36" t="s">
        <x:v>590</x:v>
      </x:c>
      <x:c r="AC4" s="36" t="s">
        <x:v>591</x:v>
      </x:c>
      <x:c r="AD4" s="36" t="s">
        <x:v>592</x:v>
      </x:c>
      <x:c r="AE4" s="36" t="s">
        <x:v>593</x:v>
      </x:c>
      <x:c r="AF4" s="36" t="s">
        <x:v>594</x:v>
      </x:c>
      <x:c r="AG4" s="36" t="s">
        <x:v>595</x:v>
      </x:c>
    </x:row>
    <x:row r="5">
      <x:c r="A5" s="2" t="s">
        <x:v>318</x:v>
      </x:c>
      <x:c r="B5" s="2">
        <x:v>5</x:v>
      </x:c>
      <x:c r="C5" s="2">
        <x:v>59.9</x:v>
      </x:c>
      <x:c r="D5" s="2">
        <x:v>85.2</x:v>
      </x:c>
      <x:c r="E5" s="2">
        <x:v>76.8</x:v>
      </x:c>
      <x:c r="F5" s="2">
        <x:v>94</x:v>
      </x:c>
      <x:c r="G5" s="2">
        <x:v>77.3</x:v>
      </x:c>
      <x:c r="H5" s="2">
        <x:v>72.8</x:v>
      </x:c>
      <x:c r="I5" s="2">
        <x:v>68.2</x:v>
      </x:c>
      <x:c r="J5" s="2">
        <x:v>71.7</x:v>
      </x:c>
      <x:c r="K5" s="2">
        <x:v>77.8</x:v>
      </x:c>
      <x:c r="L5" s="2">
        <x:v>79.599999999999994</x:v>
      </x:c>
      <x:c r="M5" s="2">
        <x:v>82</x:v>
      </x:c>
      <x:c r="N5" s="2">
        <x:v>90.4</x:v>
      </x:c>
      <x:c r="O5" s="2">
        <x:v>83.3</x:v>
      </x:c>
      <x:c r="P5" s="2">
        <x:v>87.8</x:v>
      </x:c>
      <x:c r="Q5" s="2">
        <x:v>85.6</x:v>
      </x:c>
      <x:c r="R5" s="2">
        <x:v>92.4</x:v>
      </x:c>
      <x:c r="S5" s="2">
        <x:v>76</x:v>
      </x:c>
      <x:c r="T5" s="2">
        <x:v>84</x:v>
      </x:c>
      <x:c r="U5" s="2">
        <x:v>85.3</x:v>
      </x:c>
      <x:c r="V5" s="2">
        <x:v>69.5</x:v>
      </x:c>
      <x:c r="W5" s="2">
        <x:v>74.599999999999994</x:v>
      </x:c>
      <x:c r="X5" s="2">
        <x:v>86.2</x:v>
      </x:c>
      <x:c r="Y5" s="2">
        <x:v>75.7</x:v>
      </x:c>
      <x:c r="Z5" s="2">
        <x:v>81.5</x:v>
      </x:c>
      <x:c r="AA5" s="2">
        <x:v>81.5</x:v>
      </x:c>
      <x:c r="AB5" s="2">
        <x:v>81.3</x:v>
      </x:c>
      <x:c r="AC5" s="2">
        <x:v>87.6</x:v>
      </x:c>
      <x:c r="AD5" s="2">
        <x:v>79.599999999999994</x:v>
      </x:c>
      <x:c r="AE5" s="2">
        <x:v>76</x:v>
      </x:c>
      <x:c r="AF5" s="2">
        <x:v>73.7</x:v>
      </x:c>
      <x:c r="AG5" s="2">
        <x:v>90</x:v>
      </x:c>
    </x:row>
    <x:row r="6">
      <x:c r="A6" s="2" t="s">
        <x:v>322</x:v>
      </x:c>
      <x:c r="B6" s="2">
        <x:v>5</x:v>
      </x:c>
      <x:c r="C6" s="2">
        <x:v>59.9</x:v>
      </x:c>
      <x:c r="D6" s="2">
        <x:v>85.7</x:v>
      </x:c>
      <x:c r="E6" s="2">
        <x:v>76.8</x:v>
      </x:c>
      <x:c r="F6" s="2">
        <x:v>86</x:v>
      </x:c>
      <x:c r="G6" s="2">
        <x:v>77.3</x:v>
      </x:c>
      <x:c r="H6" s="2">
        <x:v>72.8</x:v>
      </x:c>
      <x:c r="I6" s="2">
        <x:v>68.2</x:v>
      </x:c>
      <x:c r="J6" s="2">
        <x:v>71.7</x:v>
      </x:c>
      <x:c r="K6" s="2">
        <x:v>77.8</x:v>
      </x:c>
      <x:c r="L6" s="2">
        <x:v>79.599999999999994</x:v>
      </x:c>
      <x:c r="M6" s="2">
        <x:v>86</x:v>
      </x:c>
      <x:c r="N6" s="2">
        <x:v>90.4</x:v>
      </x:c>
      <x:c r="O6" s="2">
        <x:v>86.6</x:v>
      </x:c>
      <x:c r="P6" s="2">
        <x:v>85.8</x:v>
      </x:c>
      <x:c r="Q6" s="2">
        <x:v>85.6</x:v>
      </x:c>
      <x:c r="R6" s="2">
        <x:v>86</x:v>
      </x:c>
      <x:c r="S6" s="2">
        <x:v>76</x:v>
      </x:c>
      <x:c r="T6" s="2">
        <x:v>84</x:v>
      </x:c>
      <x:c r="U6" s="2">
        <x:v>85.3</x:v>
      </x:c>
      <x:c r="V6" s="2">
        <x:v>69.5</x:v>
      </x:c>
      <x:c r="W6" s="2">
        <x:v>74.599999999999994</x:v>
      </x:c>
      <x:c r="X6" s="2">
        <x:v>86.2</x:v>
      </x:c>
      <x:c r="Y6" s="2">
        <x:v>75.7</x:v>
      </x:c>
      <x:c r="Z6" s="2">
        <x:v>81.5</x:v>
      </x:c>
      <x:c r="AA6" s="2">
        <x:v>81.5</x:v>
      </x:c>
      <x:c r="AB6" s="2">
        <x:v>81.3</x:v>
      </x:c>
      <x:c r="AC6" s="2">
        <x:v>87.6</x:v>
      </x:c>
      <x:c r="AD6" s="2">
        <x:v>79.599999999999994</x:v>
      </x:c>
      <x:c r="AE6" s="2">
        <x:v>76</x:v>
      </x:c>
      <x:c r="AF6" s="2">
        <x:v>73.7</x:v>
      </x:c>
      <x:c r="AG6" s="2">
        <x:v>90</x:v>
      </x:c>
    </x:row>
    <x:row r="7">
      <x:c r="A7" s="2" t="s">
        <x:v>326</x:v>
      </x:c>
      <x:c r="B7" s="2">
        <x:v>5</x:v>
      </x:c>
      <x:c r="C7" s="2">
        <x:v>56.1</x:v>
      </x:c>
      <x:c r="D7" s="2">
        <x:v>79.5</x:v>
      </x:c>
      <x:c r="E7" s="2">
        <x:v>73</x:v>
      </x:c>
      <x:c r="F7" s="2">
        <x:v>90.2</x:v>
      </x:c>
      <x:c r="G7" s="2">
        <x:v>73.599999999999994</x:v>
      </x:c>
      <x:c r="H7" s="2">
        <x:v>69.099999999999994</x:v>
      </x:c>
      <x:c r="I7" s="2">
        <x:v>64.400000000000006</x:v>
      </x:c>
      <x:c r="J7" s="2">
        <x:v>69.900000000000006</x:v>
      </x:c>
      <x:c r="K7" s="2">
        <x:v>76.099999999999994</x:v>
      </x:c>
      <x:c r="L7" s="2">
        <x:v>75.8</x:v>
      </x:c>
      <x:c r="M7" s="2">
        <x:v>78.2</x:v>
      </x:c>
      <x:c r="N7" s="2">
        <x:v>86.7</x:v>
      </x:c>
      <x:c r="O7" s="2">
        <x:v>79.599999999999994</x:v>
      </x:c>
      <x:c r="P7" s="2">
        <x:v>84.1</x:v>
      </x:c>
      <x:c r="Q7" s="2">
        <x:v>81.8</x:v>
      </x:c>
      <x:c r="R7" s="2">
        <x:v>86.2</x:v>
      </x:c>
      <x:c r="S7" s="2">
        <x:v>73.8</x:v>
      </x:c>
      <x:c r="T7" s="2">
        <x:v>80.2</x:v>
      </x:c>
      <x:c r="U7" s="2">
        <x:v>81.599999999999994</x:v>
      </x:c>
      <x:c r="V7" s="2">
        <x:v>65.7</x:v>
      </x:c>
      <x:c r="W7" s="2">
        <x:v>70.8</x:v>
      </x:c>
      <x:c r="X7" s="2">
        <x:v>82.5</x:v>
      </x:c>
      <x:c r="Y7" s="2">
        <x:v>72</x:v>
      </x:c>
      <x:c r="Z7" s="2">
        <x:v>77.8</x:v>
      </x:c>
      <x:c r="AA7" s="2">
        <x:v>81</x:v>
      </x:c>
      <x:c r="AB7" s="2">
        <x:v>77.599999999999994</x:v>
      </x:c>
      <x:c r="AC7" s="2">
        <x:v>83.8</x:v>
      </x:c>
      <x:c r="AD7" s="2">
        <x:v>75.8</x:v>
      </x:c>
      <x:c r="AE7" s="2">
        <x:v>72.2</x:v>
      </x:c>
      <x:c r="AF7" s="2">
        <x:v>72.3</x:v>
      </x:c>
      <x:c r="AG7" s="2">
        <x:v>86.2</x:v>
      </x:c>
    </x:row>
    <x:row r="8">
      <x:c r="A8" s="2" t="s">
        <x:v>330</x:v>
      </x:c>
      <x:c r="B8" s="2">
        <x:v>5</x:v>
      </x:c>
      <x:c r="C8" s="2">
        <x:v>59.9</x:v>
      </x:c>
      <x:c r="D8" s="2">
        <x:v>83.2</x:v>
      </x:c>
      <x:c r="E8" s="2">
        <x:v>76.8</x:v>
      </x:c>
      <x:c r="F8" s="2">
        <x:v>94</x:v>
      </x:c>
      <x:c r="G8" s="2">
        <x:v>77.3</x:v>
      </x:c>
      <x:c r="H8" s="2">
        <x:v>72.8</x:v>
      </x:c>
      <x:c r="I8" s="2">
        <x:v>68.2</x:v>
      </x:c>
      <x:c r="J8" s="2">
        <x:v>71.7</x:v>
      </x:c>
      <x:c r="K8" s="2">
        <x:v>77.8</x:v>
      </x:c>
      <x:c r="L8" s="2">
        <x:v>79.599999999999994</x:v>
      </x:c>
      <x:c r="M8" s="2">
        <x:v>82</x:v>
      </x:c>
      <x:c r="N8" s="2">
        <x:v>90.4</x:v>
      </x:c>
      <x:c r="O8" s="2">
        <x:v>83.3</x:v>
      </x:c>
      <x:c r="P8" s="2">
        <x:v>87.8</x:v>
      </x:c>
      <x:c r="Q8" s="2">
        <x:v>85.6</x:v>
      </x:c>
      <x:c r="R8" s="2">
        <x:v>92.4</x:v>
      </x:c>
      <x:c r="S8" s="2">
        <x:v>76</x:v>
      </x:c>
      <x:c r="T8" s="2">
        <x:v>84</x:v>
      </x:c>
      <x:c r="U8" s="2">
        <x:v>85.3</x:v>
      </x:c>
      <x:c r="V8" s="2">
        <x:v>69.5</x:v>
      </x:c>
      <x:c r="W8" s="2">
        <x:v>74.599999999999994</x:v>
      </x:c>
      <x:c r="X8" s="2">
        <x:v>88.2</x:v>
      </x:c>
      <x:c r="Y8" s="2">
        <x:v>75.7</x:v>
      </x:c>
      <x:c r="Z8" s="2">
        <x:v>81.5</x:v>
      </x:c>
      <x:c r="AA8" s="2">
        <x:v>81.5</x:v>
      </x:c>
      <x:c r="AB8" s="2">
        <x:v>81.3</x:v>
      </x:c>
      <x:c r="AC8" s="2">
        <x:v>87.6</x:v>
      </x:c>
      <x:c r="AD8" s="2">
        <x:v>79.599999999999994</x:v>
      </x:c>
      <x:c r="AE8" s="2">
        <x:v>76</x:v>
      </x:c>
      <x:c r="AF8" s="2">
        <x:v>73.7</x:v>
      </x:c>
      <x:c r="AG8" s="2">
        <x:v>90</x:v>
      </x:c>
    </x:row>
    <x:row r="9">
      <x:c r="A9" s="2" t="s">
        <x:v>334</x:v>
      </x:c>
      <x:c r="B9" s="2">
        <x:v>5</x:v>
      </x:c>
      <x:c r="C9" s="2">
        <x:v>59.9</x:v>
      </x:c>
      <x:c r="D9" s="2">
        <x:v>83.2</x:v>
      </x:c>
      <x:c r="E9" s="2">
        <x:v>76.8</x:v>
      </x:c>
      <x:c r="F9" s="2">
        <x:v>94</x:v>
      </x:c>
      <x:c r="G9" s="2">
        <x:v>77.3</x:v>
      </x:c>
      <x:c r="H9" s="2">
        <x:v>72.8</x:v>
      </x:c>
      <x:c r="I9" s="2">
        <x:v>68.2</x:v>
      </x:c>
      <x:c r="J9" s="2">
        <x:v>71.7</x:v>
      </x:c>
      <x:c r="K9" s="2">
        <x:v>77.8</x:v>
      </x:c>
      <x:c r="L9" s="2">
        <x:v>79.599999999999994</x:v>
      </x:c>
      <x:c r="M9" s="2">
        <x:v>82</x:v>
      </x:c>
      <x:c r="N9" s="2">
        <x:v>90.4</x:v>
      </x:c>
      <x:c r="O9" s="2">
        <x:v>83.3</x:v>
      </x:c>
      <x:c r="P9" s="2">
        <x:v>91.8</x:v>
      </x:c>
      <x:c r="Q9" s="2">
        <x:v>85.6</x:v>
      </x:c>
      <x:c r="R9" s="2">
        <x:v>90</x:v>
      </x:c>
      <x:c r="S9" s="2">
        <x:v>76</x:v>
      </x:c>
      <x:c r="T9" s="2">
        <x:v>84</x:v>
      </x:c>
      <x:c r="U9" s="2">
        <x:v>85.3</x:v>
      </x:c>
      <x:c r="V9" s="2">
        <x:v>69.5</x:v>
      </x:c>
      <x:c r="W9" s="2">
        <x:v>74.599999999999994</x:v>
      </x:c>
      <x:c r="X9" s="2">
        <x:v>86.2</x:v>
      </x:c>
      <x:c r="Y9" s="2">
        <x:v>75.7</x:v>
      </x:c>
      <x:c r="Z9" s="2">
        <x:v>83.5</x:v>
      </x:c>
      <x:c r="AA9" s="2">
        <x:v>81.5</x:v>
      </x:c>
      <x:c r="AB9" s="2">
        <x:v>81.3</x:v>
      </x:c>
      <x:c r="AC9" s="2">
        <x:v>90.8</x:v>
      </x:c>
      <x:c r="AD9" s="2">
        <x:v>79.599999999999994</x:v>
      </x:c>
      <x:c r="AE9" s="2">
        <x:v>76</x:v>
      </x:c>
      <x:c r="AF9" s="2">
        <x:v>73.7</x:v>
      </x:c>
      <x:c r="AG9" s="2">
        <x:v>90</x:v>
      </x:c>
    </x:row>
    <x:row r="10">
      <x:c r="A10" s="2" t="s">
        <x:v>338</x:v>
      </x:c>
      <x:c r="B10" s="2">
        <x:v>5</x:v>
      </x:c>
      <x:c r="C10" s="2">
        <x:v>59.9</x:v>
      </x:c>
      <x:c r="D10" s="2">
        <x:v>83.2</x:v>
      </x:c>
      <x:c r="E10" s="2">
        <x:v>76.8</x:v>
      </x:c>
      <x:c r="F10" s="2">
        <x:v>90</x:v>
      </x:c>
      <x:c r="G10" s="2">
        <x:v>77.3</x:v>
      </x:c>
      <x:c r="H10" s="2">
        <x:v>72.8</x:v>
      </x:c>
      <x:c r="I10" s="2">
        <x:v>68.2</x:v>
      </x:c>
      <x:c r="J10" s="2">
        <x:v>71.7</x:v>
      </x:c>
      <x:c r="K10" s="2">
        <x:v>77.8</x:v>
      </x:c>
      <x:c r="L10" s="2">
        <x:v>79.599999999999994</x:v>
      </x:c>
      <x:c r="M10" s="2">
        <x:v>82</x:v>
      </x:c>
      <x:c r="N10" s="2">
        <x:v>90.4</x:v>
      </x:c>
      <x:c r="O10" s="2">
        <x:v>83.3</x:v>
      </x:c>
      <x:c r="P10" s="2">
        <x:v>89.8</x:v>
      </x:c>
      <x:c r="Q10" s="2">
        <x:v>85.6</x:v>
      </x:c>
      <x:c r="R10" s="2">
        <x:v>86</x:v>
      </x:c>
      <x:c r="S10" s="2">
        <x:v>76</x:v>
      </x:c>
      <x:c r="T10" s="2">
        <x:v>84</x:v>
      </x:c>
      <x:c r="U10" s="2">
        <x:v>85.3</x:v>
      </x:c>
      <x:c r="V10" s="2">
        <x:v>69.5</x:v>
      </x:c>
      <x:c r="W10" s="2">
        <x:v>74.599999999999994</x:v>
      </x:c>
      <x:c r="X10" s="2">
        <x:v>88.2</x:v>
      </x:c>
      <x:c r="Y10" s="2">
        <x:v>75.7</x:v>
      </x:c>
      <x:c r="Z10" s="2">
        <x:v>81.5</x:v>
      </x:c>
      <x:c r="AA10" s="2">
        <x:v>81.5</x:v>
      </x:c>
      <x:c r="AB10" s="2">
        <x:v>81.3</x:v>
      </x:c>
      <x:c r="AC10" s="2">
        <x:v>87.6</x:v>
      </x:c>
      <x:c r="AD10" s="2">
        <x:v>79.599999999999994</x:v>
      </x:c>
      <x:c r="AE10" s="2">
        <x:v>76</x:v>
      </x:c>
      <x:c r="AF10" s="2">
        <x:v>73.7</x:v>
      </x:c>
      <x:c r="AG10" s="2">
        <x:v>90</x:v>
      </x:c>
    </x:row>
    <x:row r="11">
      <x:c r="A11" s="2" t="s">
        <x:v>342</x:v>
      </x:c>
      <x:c r="B11" s="2">
        <x:v>5</x:v>
      </x:c>
      <x:c r="C11" s="2">
        <x:v>59.9</x:v>
      </x:c>
      <x:c r="D11" s="2">
        <x:v>83.2</x:v>
      </x:c>
      <x:c r="E11" s="2">
        <x:v>76.8</x:v>
      </x:c>
      <x:c r="F11" s="2">
        <x:v>94</x:v>
      </x:c>
      <x:c r="G11" s="2">
        <x:v>77.3</x:v>
      </x:c>
      <x:c r="H11" s="2">
        <x:v>72.8</x:v>
      </x:c>
      <x:c r="I11" s="2">
        <x:v>68.2</x:v>
      </x:c>
      <x:c r="J11" s="2">
        <x:v>71.7</x:v>
      </x:c>
      <x:c r="K11" s="2">
        <x:v>77.8</x:v>
      </x:c>
      <x:c r="L11" s="2">
        <x:v>79.599999999999994</x:v>
      </x:c>
      <x:c r="M11" s="2">
        <x:v>82</x:v>
      </x:c>
      <x:c r="N11" s="2">
        <x:v>90.4</x:v>
      </x:c>
      <x:c r="O11" s="2">
        <x:v>83.3</x:v>
      </x:c>
      <x:c r="P11" s="2">
        <x:v>87.8</x:v>
      </x:c>
      <x:c r="Q11" s="2">
        <x:v>85.6</x:v>
      </x:c>
      <x:c r="R11" s="2">
        <x:v>94</x:v>
      </x:c>
      <x:c r="S11" s="2">
        <x:v>76</x:v>
      </x:c>
      <x:c r="T11" s="2">
        <x:v>84</x:v>
      </x:c>
      <x:c r="U11" s="2">
        <x:v>85.3</x:v>
      </x:c>
      <x:c r="V11" s="2">
        <x:v>69.5</x:v>
      </x:c>
      <x:c r="W11" s="2">
        <x:v>74.599999999999994</x:v>
      </x:c>
      <x:c r="X11" s="2">
        <x:v>88.2</x:v>
      </x:c>
      <x:c r="Y11" s="2">
        <x:v>75.7</x:v>
      </x:c>
      <x:c r="Z11" s="2">
        <x:v>81.5</x:v>
      </x:c>
      <x:c r="AA11" s="2">
        <x:v>81.5</x:v>
      </x:c>
      <x:c r="AB11" s="2">
        <x:v>81.3</x:v>
      </x:c>
      <x:c r="AC11" s="2">
        <x:v>87.6</x:v>
      </x:c>
      <x:c r="AD11" s="2">
        <x:v>79.599999999999994</x:v>
      </x:c>
      <x:c r="AE11" s="2">
        <x:v>76</x:v>
      </x:c>
      <x:c r="AF11" s="2">
        <x:v>73.7</x:v>
      </x:c>
      <x:c r="AG11" s="2">
        <x:v>90</x:v>
      </x:c>
    </x:row>
    <x:row r="12">
      <x:c r="A12" s="2" t="s">
        <x:v>346</x:v>
      </x:c>
      <x:c r="B12" s="2">
        <x:v>5</x:v>
      </x:c>
      <x:c r="C12" s="2">
        <x:v>59.9</x:v>
      </x:c>
      <x:c r="D12" s="2">
        <x:v>83.2</x:v>
      </x:c>
      <x:c r="E12" s="2">
        <x:v>76.8</x:v>
      </x:c>
      <x:c r="F12" s="2">
        <x:v>88</x:v>
      </x:c>
      <x:c r="G12" s="2">
        <x:v>77.3</x:v>
      </x:c>
      <x:c r="H12" s="2">
        <x:v>72.8</x:v>
      </x:c>
      <x:c r="I12" s="2">
        <x:v>68.2</x:v>
      </x:c>
      <x:c r="J12" s="2">
        <x:v>71.7</x:v>
      </x:c>
      <x:c r="K12" s="2">
        <x:v>77.8</x:v>
      </x:c>
      <x:c r="L12" s="2">
        <x:v>79.599999999999994</x:v>
      </x:c>
      <x:c r="M12" s="2">
        <x:v>86</x:v>
      </x:c>
      <x:c r="N12" s="2">
        <x:v>90.4</x:v>
      </x:c>
      <x:c r="O12" s="2">
        <x:v>89.3</x:v>
      </x:c>
      <x:c r="P12" s="2">
        <x:v>91.8</x:v>
      </x:c>
      <x:c r="Q12" s="2">
        <x:v>85.6</x:v>
      </x:c>
      <x:c r="R12" s="2">
        <x:v>90</x:v>
      </x:c>
      <x:c r="S12" s="2">
        <x:v>76</x:v>
      </x:c>
      <x:c r="T12" s="2">
        <x:v>84</x:v>
      </x:c>
      <x:c r="U12" s="2">
        <x:v>88.6</x:v>
      </x:c>
      <x:c r="V12" s="2">
        <x:v>69.5</x:v>
      </x:c>
      <x:c r="W12" s="2">
        <x:v>74.599999999999994</x:v>
      </x:c>
      <x:c r="X12" s="2">
        <x:v>86.2</x:v>
      </x:c>
      <x:c r="Y12" s="2">
        <x:v>75.7</x:v>
      </x:c>
      <x:c r="Z12" s="2">
        <x:v>81.5</x:v>
      </x:c>
      <x:c r="AA12" s="2">
        <x:v>81.5</x:v>
      </x:c>
      <x:c r="AB12" s="2">
        <x:v>81.3</x:v>
      </x:c>
      <x:c r="AC12" s="2">
        <x:v>87.6</x:v>
      </x:c>
      <x:c r="AD12" s="2">
        <x:v>79.599999999999994</x:v>
      </x:c>
      <x:c r="AE12" s="2">
        <x:v>76</x:v>
      </x:c>
      <x:c r="AF12" s="2">
        <x:v>73.7</x:v>
      </x:c>
      <x:c r="AG12" s="2">
        <x:v>90</x:v>
      </x:c>
    </x:row>
    <x:row r="13">
      <x:c r="A13" s="2" t="s">
        <x:v>350</x:v>
      </x:c>
      <x:c r="B13" s="2">
        <x:v>5</x:v>
      </x:c>
      <x:c r="C13" s="2">
        <x:v>59.9</x:v>
      </x:c>
      <x:c r="D13" s="2">
        <x:v>83.2</x:v>
      </x:c>
      <x:c r="E13" s="2">
        <x:v>76.8</x:v>
      </x:c>
      <x:c r="F13" s="2">
        <x:v>94</x:v>
      </x:c>
      <x:c r="G13" s="2">
        <x:v>77.3</x:v>
      </x:c>
      <x:c r="H13" s="2">
        <x:v>72.8</x:v>
      </x:c>
      <x:c r="I13" s="2">
        <x:v>68.2</x:v>
      </x:c>
      <x:c r="J13" s="2">
        <x:v>71.7</x:v>
      </x:c>
      <x:c r="K13" s="2">
        <x:v>77.8</x:v>
      </x:c>
      <x:c r="L13" s="2">
        <x:v>79.599999999999994</x:v>
      </x:c>
      <x:c r="M13" s="2">
        <x:v>82</x:v>
      </x:c>
      <x:c r="N13" s="2">
        <x:v>90.4</x:v>
      </x:c>
      <x:c r="O13" s="2">
        <x:v>83.3</x:v>
      </x:c>
      <x:c r="P13" s="2">
        <x:v>91</x:v>
      </x:c>
      <x:c r="Q13" s="2">
        <x:v>85.6</x:v>
      </x:c>
      <x:c r="R13" s="2">
        <x:v>94</x:v>
      </x:c>
      <x:c r="S13" s="2">
        <x:v>76</x:v>
      </x:c>
      <x:c r="T13" s="2">
        <x:v>84</x:v>
      </x:c>
      <x:c r="U13" s="2">
        <x:v>85.3</x:v>
      </x:c>
      <x:c r="V13" s="2">
        <x:v>69.5</x:v>
      </x:c>
      <x:c r="W13" s="2">
        <x:v>74.599999999999994</x:v>
      </x:c>
      <x:c r="X13" s="2">
        <x:v>88.6</x:v>
      </x:c>
      <x:c r="Y13" s="2">
        <x:v>75.7</x:v>
      </x:c>
      <x:c r="Z13" s="2">
        <x:v>81.5</x:v>
      </x:c>
      <x:c r="AA13" s="2">
        <x:v>81.5</x:v>
      </x:c>
      <x:c r="AB13" s="2">
        <x:v>81.3</x:v>
      </x:c>
      <x:c r="AC13" s="2">
        <x:v>87.6</x:v>
      </x:c>
      <x:c r="AD13" s="2">
        <x:v>79.599999999999994</x:v>
      </x:c>
      <x:c r="AE13" s="2">
        <x:v>76</x:v>
      </x:c>
      <x:c r="AF13" s="2">
        <x:v>73.7</x:v>
      </x:c>
      <x:c r="AG13" s="2">
        <x:v>90</x:v>
      </x:c>
    </x:row>
    <x:row r="14">
      <x:c r="A14" s="2" t="s">
        <x:v>356</x:v>
      </x:c>
      <x:c r="B14" s="2">
        <x:v>4</x:v>
      </x:c>
      <x:c r="C14" s="2">
        <x:v>75.8</x:v>
      </x:c>
      <x:c r="D14" s="2">
        <x:v>67.2</x:v>
      </x:c>
      <x:c r="E14" s="2">
        <x:v>76.8</x:v>
      </x:c>
      <x:c r="F14" s="2">
        <x:v>90</x:v>
      </x:c>
      <x:c r="G14" s="2">
        <x:v>91.3</x:v>
      </x:c>
      <x:c r="H14" s="2">
        <x:v>86.8</x:v>
      </x:c>
      <x:c r="I14" s="2">
        <x:v>70.2</x:v>
      </x:c>
      <x:c r="J14" s="2">
        <x:v>73.7</x:v>
      </x:c>
      <x:c r="K14" s="2">
        <x:v>87.8</x:v>
      </x:c>
      <x:c r="L14" s="2">
        <x:v>93.6</x:v>
      </x:c>
      <x:c r="M14" s="2">
        <x:v>88</x:v>
      </x:c>
      <x:c r="N14" s="2">
        <x:v>74.400000000000006</x:v>
      </x:c>
      <x:c r="O14" s="2">
        <x:v>91.3</x:v>
      </x:c>
      <x:c r="P14" s="2">
        <x:v>81.8</x:v>
      </x:c>
      <x:c r="Q14" s="2">
        <x:v>89.6</x:v>
      </x:c>
      <x:c r="R14" s="2">
        <x:v>94</x:v>
      </x:c>
      <x:c r="S14" s="2">
        <x:v>80</x:v>
      </x:c>
      <x:c r="T14" s="2">
        <x:v>84</x:v>
      </x:c>
      <x:c r="U14" s="2">
        <x:v>79.3</x:v>
      </x:c>
      <x:c r="V14" s="2">
        <x:v>73.5</x:v>
      </x:c>
      <x:c r="W14" s="2">
        <x:v>76.599999999999994</x:v>
      </x:c>
      <x:c r="X14" s="2">
        <x:v>90.2</x:v>
      </x:c>
      <x:c r="Y14" s="2">
        <x:v>75.7</x:v>
      </x:c>
      <x:c r="Z14" s="2">
        <x:v>71.5</x:v>
      </x:c>
      <x:c r="AA14" s="2">
        <x:v>81.5</x:v>
      </x:c>
      <x:c r="AB14" s="2">
        <x:v>85.3</x:v>
      </x:c>
      <x:c r="AC14" s="2">
        <x:v>93.6</x:v>
      </x:c>
      <x:c r="AD14" s="2">
        <x:v>93.6</x:v>
      </x:c>
      <x:c r="AE14" s="2">
        <x:v>88</x:v>
      </x:c>
      <x:c r="AF14" s="2">
        <x:v>71.7</x:v>
      </x:c>
      <x:c r="AG14" s="2">
        <x:v>78</x:v>
      </x:c>
    </x:row>
    <x:row r="15">
      <x:c r="A15" s="2" t="s">
        <x:v>360</x:v>
      </x:c>
      <x:c r="B15" s="2">
        <x:v>4</x:v>
      </x:c>
      <x:c r="C15" s="2">
        <x:v>75.8</x:v>
      </x:c>
      <x:c r="D15" s="2">
        <x:v>67.2</x:v>
      </x:c>
      <x:c r="E15" s="2">
        <x:v>76.8</x:v>
      </x:c>
      <x:c r="F15" s="2">
        <x:v>90</x:v>
      </x:c>
      <x:c r="G15" s="2">
        <x:v>91.3</x:v>
      </x:c>
      <x:c r="H15" s="2">
        <x:v>86.8</x:v>
      </x:c>
      <x:c r="I15" s="2">
        <x:v>70.2</x:v>
      </x:c>
      <x:c r="J15" s="2">
        <x:v>73.7</x:v>
      </x:c>
      <x:c r="K15" s="2">
        <x:v>87.8</x:v>
      </x:c>
      <x:c r="L15" s="2">
        <x:v>93.6</x:v>
      </x:c>
      <x:c r="M15" s="2">
        <x:v>86</x:v>
      </x:c>
      <x:c r="N15" s="2">
        <x:v>74.400000000000006</x:v>
      </x:c>
      <x:c r="O15" s="2">
        <x:v>94.6</x:v>
      </x:c>
      <x:c r="P15" s="2">
        <x:v>81.8</x:v>
      </x:c>
      <x:c r="Q15" s="2">
        <x:v>89.6</x:v>
      </x:c>
      <x:c r="R15" s="2">
        <x:v>94</x:v>
      </x:c>
      <x:c r="S15" s="2">
        <x:v>80</x:v>
      </x:c>
      <x:c r="T15" s="2">
        <x:v>84</x:v>
      </x:c>
      <x:c r="U15" s="2">
        <x:v>79.3</x:v>
      </x:c>
      <x:c r="V15" s="2">
        <x:v>73.5</x:v>
      </x:c>
      <x:c r="W15" s="2">
        <x:v>76.599999999999994</x:v>
      </x:c>
      <x:c r="X15" s="2">
        <x:v>92.2</x:v>
      </x:c>
      <x:c r="Y15" s="2">
        <x:v>75.7</x:v>
      </x:c>
      <x:c r="Z15" s="2">
        <x:v>71.5</x:v>
      </x:c>
      <x:c r="AA15" s="2">
        <x:v>81.5</x:v>
      </x:c>
      <x:c r="AB15" s="2">
        <x:v>85.3</x:v>
      </x:c>
      <x:c r="AC15" s="2">
        <x:v>93.6</x:v>
      </x:c>
      <x:c r="AD15" s="2">
        <x:v>93.6</x:v>
      </x:c>
      <x:c r="AE15" s="2">
        <x:v>88</x:v>
      </x:c>
      <x:c r="AF15" s="2">
        <x:v>71.7</x:v>
      </x:c>
      <x:c r="AG15" s="2">
        <x:v>78</x:v>
      </x:c>
    </x:row>
    <x:row r="16">
      <x:c r="A16" s="2" t="s">
        <x:v>364</x:v>
      </x:c>
      <x:c r="B16" s="2">
        <x:v>4</x:v>
      </x:c>
      <x:c r="C16" s="2">
        <x:v>75.8</x:v>
      </x:c>
      <x:c r="D16" s="2">
        <x:v>67.2</x:v>
      </x:c>
      <x:c r="E16" s="2">
        <x:v>76.8</x:v>
      </x:c>
      <x:c r="F16" s="2">
        <x:v>93.2</x:v>
      </x:c>
      <x:c r="G16" s="2">
        <x:v>91.3</x:v>
      </x:c>
      <x:c r="H16" s="2">
        <x:v>86.8</x:v>
      </x:c>
      <x:c r="I16" s="2">
        <x:v>70.2</x:v>
      </x:c>
      <x:c r="J16" s="2">
        <x:v>73.7</x:v>
      </x:c>
      <x:c r="K16" s="2">
        <x:v>89.8</x:v>
      </x:c>
      <x:c r="L16" s="2">
        <x:v>93.6</x:v>
      </x:c>
      <x:c r="M16" s="2">
        <x:v>90</x:v>
      </x:c>
      <x:c r="N16" s="2">
        <x:v>74.400000000000006</x:v>
      </x:c>
      <x:c r="O16" s="2">
        <x:v>91.3</x:v>
      </x:c>
      <x:c r="P16" s="2">
        <x:v>81.8</x:v>
      </x:c>
      <x:c r="Q16" s="2">
        <x:v>89.6</x:v>
      </x:c>
      <x:c r="R16" s="2">
        <x:v>94</x:v>
      </x:c>
      <x:c r="S16" s="2">
        <x:v>80</x:v>
      </x:c>
      <x:c r="T16" s="2">
        <x:v>84</x:v>
      </x:c>
      <x:c r="U16" s="2">
        <x:v>79.3</x:v>
      </x:c>
      <x:c r="V16" s="2">
        <x:v>73.5</x:v>
      </x:c>
      <x:c r="W16" s="2">
        <x:v>76.599999999999994</x:v>
      </x:c>
      <x:c r="X16" s="2">
        <x:v>90.2</x:v>
      </x:c>
      <x:c r="Y16" s="2">
        <x:v>75.7</x:v>
      </x:c>
      <x:c r="Z16" s="2">
        <x:v>71.5</x:v>
      </x:c>
      <x:c r="AA16" s="2">
        <x:v>81.5</x:v>
      </x:c>
      <x:c r="AB16" s="2">
        <x:v>85.3</x:v>
      </x:c>
      <x:c r="AC16" s="2">
        <x:v>93.6</x:v>
      </x:c>
      <x:c r="AD16" s="2">
        <x:v>93.6</x:v>
      </x:c>
      <x:c r="AE16" s="2">
        <x:v>88</x:v>
      </x:c>
      <x:c r="AF16" s="2">
        <x:v>71.7</x:v>
      </x:c>
      <x:c r="AG16" s="2">
        <x:v>78</x:v>
      </x:c>
    </x:row>
    <x:row r="17">
      <x:c r="A17" s="2" t="s">
        <x:v>370</x:v>
      </x:c>
      <x:c r="B17" s="2">
        <x:v>3</x:v>
      </x:c>
      <x:c r="C17" s="2">
        <x:v>73.8</x:v>
      </x:c>
      <x:c r="D17" s="2">
        <x:v>65.2</x:v>
      </x:c>
      <x:c r="E17" s="2">
        <x:v>64.8</x:v>
      </x:c>
      <x:c r="F17" s="2">
        <x:v>94</x:v>
      </x:c>
      <x:c r="G17" s="2">
        <x:v>89.3</x:v>
      </x:c>
      <x:c r="H17" s="2">
        <x:v>88.8</x:v>
      </x:c>
      <x:c r="I17" s="2">
        <x:v>84.2</x:v>
      </x:c>
      <x:c r="J17" s="2">
        <x:v>71.7</x:v>
      </x:c>
      <x:c r="K17" s="2">
        <x:v>89.8</x:v>
      </x:c>
      <x:c r="L17" s="2">
        <x:v>81.599999999999994</x:v>
      </x:c>
      <x:c r="M17" s="2">
        <x:v>94</x:v>
      </x:c>
      <x:c r="N17" s="2">
        <x:v>76.400000000000006</x:v>
      </x:c>
      <x:c r="O17" s="2">
        <x:v>95.3</x:v>
      </x:c>
      <x:c r="P17" s="2">
        <x:v>95.8</x:v>
      </x:c>
      <x:c r="Q17" s="2">
        <x:v>89.6</x:v>
      </x:c>
      <x:c r="R17" s="2">
        <x:v>88</x:v>
      </x:c>
      <x:c r="S17" s="2">
        <x:v>76</x:v>
      </x:c>
      <x:c r="T17" s="2">
        <x:v>80</x:v>
      </x:c>
      <x:c r="U17" s="2">
        <x:v>93.3</x:v>
      </x:c>
      <x:c r="V17" s="2">
        <x:v>73.5</x:v>
      </x:c>
      <x:c r="W17" s="2">
        <x:v>76.599999999999994</x:v>
      </x:c>
      <x:c r="X17" s="2">
        <x:v>82.2</x:v>
      </x:c>
      <x:c r="Y17" s="2">
        <x:v>79.7</x:v>
      </x:c>
      <x:c r="Z17" s="2">
        <x:v>75.5</x:v>
      </x:c>
      <x:c r="AA17" s="2">
        <x:v>81.5</x:v>
      </x:c>
      <x:c r="AB17" s="2">
        <x:v>85.3</x:v>
      </x:c>
      <x:c r="AC17" s="2">
        <x:v>85.6</x:v>
      </x:c>
      <x:c r="AD17" s="2">
        <x:v>85.6</x:v>
      </x:c>
      <x:c r="AE17" s="2">
        <x:v>86</x:v>
      </x:c>
      <x:c r="AF17" s="2">
        <x:v>71.7</x:v>
      </x:c>
      <x:c r="AG17" s="2">
        <x:v>76</x:v>
      </x:c>
    </x:row>
    <x:row r="18">
      <x:c r="A18" s="2" t="s">
        <x:v>374</x:v>
      </x:c>
      <x:c r="B18" s="2">
        <x:v>3</x:v>
      </x:c>
      <x:c r="C18" s="2">
        <x:v>73.8</x:v>
      </x:c>
      <x:c r="D18" s="2">
        <x:v>65.2</x:v>
      </x:c>
      <x:c r="E18" s="2">
        <x:v>64.8</x:v>
      </x:c>
      <x:c r="F18" s="2">
        <x:v>92</x:v>
      </x:c>
      <x:c r="G18" s="2">
        <x:v>89.3</x:v>
      </x:c>
      <x:c r="H18" s="2">
        <x:v>88.8</x:v>
      </x:c>
      <x:c r="I18" s="2">
        <x:v>84.2</x:v>
      </x:c>
      <x:c r="J18" s="2">
        <x:v>71.7</x:v>
      </x:c>
      <x:c r="K18" s="2">
        <x:v>89.8</x:v>
      </x:c>
      <x:c r="L18" s="2">
        <x:v>81.599999999999994</x:v>
      </x:c>
      <x:c r="M18" s="2">
        <x:v>94</x:v>
      </x:c>
      <x:c r="N18" s="2">
        <x:v>76.400000000000006</x:v>
      </x:c>
      <x:c r="O18" s="2">
        <x:v>95.3</x:v>
      </x:c>
      <x:c r="P18" s="2">
        <x:v>95.8</x:v>
      </x:c>
      <x:c r="Q18" s="2">
        <x:v>91.6</x:v>
      </x:c>
      <x:c r="R18" s="2">
        <x:v>88</x:v>
      </x:c>
      <x:c r="S18" s="2">
        <x:v>76</x:v>
      </x:c>
      <x:c r="T18" s="2">
        <x:v>80</x:v>
      </x:c>
      <x:c r="U18" s="2">
        <x:v>95.3</x:v>
      </x:c>
      <x:c r="V18" s="2">
        <x:v>73.5</x:v>
      </x:c>
      <x:c r="W18" s="2">
        <x:v>76.599999999999994</x:v>
      </x:c>
      <x:c r="X18" s="2">
        <x:v>82.2</x:v>
      </x:c>
      <x:c r="Y18" s="2">
        <x:v>79.7</x:v>
      </x:c>
      <x:c r="Z18" s="2">
        <x:v>75.5</x:v>
      </x:c>
      <x:c r="AA18" s="2">
        <x:v>81.5</x:v>
      </x:c>
      <x:c r="AB18" s="2">
        <x:v>85.3</x:v>
      </x:c>
      <x:c r="AC18" s="2">
        <x:v>85.6</x:v>
      </x:c>
      <x:c r="AD18" s="2">
        <x:v>89.6</x:v>
      </x:c>
      <x:c r="AE18" s="2">
        <x:v>86</x:v>
      </x:c>
      <x:c r="AF18" s="2">
        <x:v>71.7</x:v>
      </x:c>
      <x:c r="AG18" s="2">
        <x:v>76</x:v>
      </x:c>
    </x:row>
    <x:row r="19">
      <x:c r="A19" s="2" t="s">
        <x:v>378</x:v>
      </x:c>
      <x:c r="B19" s="2">
        <x:v>3</x:v>
      </x:c>
      <x:c r="C19" s="2">
        <x:v>73.8</x:v>
      </x:c>
      <x:c r="D19" s="2">
        <x:v>65.2</x:v>
      </x:c>
      <x:c r="E19" s="2">
        <x:v>64.8</x:v>
      </x:c>
      <x:c r="F19" s="2">
        <x:v>94</x:v>
      </x:c>
      <x:c r="G19" s="2">
        <x:v>89.3</x:v>
      </x:c>
      <x:c r="H19" s="2">
        <x:v>88.8</x:v>
      </x:c>
      <x:c r="I19" s="2">
        <x:v>84.2</x:v>
      </x:c>
      <x:c r="J19" s="2">
        <x:v>71.7</x:v>
      </x:c>
      <x:c r="K19" s="2">
        <x:v>89.8</x:v>
      </x:c>
      <x:c r="L19" s="2">
        <x:v>81.599999999999994</x:v>
      </x:c>
      <x:c r="M19" s="2">
        <x:v>94</x:v>
      </x:c>
      <x:c r="N19" s="2">
        <x:v>76.400000000000006</x:v>
      </x:c>
      <x:c r="O19" s="2">
        <x:v>95.3</x:v>
      </x:c>
      <x:c r="P19" s="2">
        <x:v>95.8</x:v>
      </x:c>
      <x:c r="Q19" s="2">
        <x:v>89.6</x:v>
      </x:c>
      <x:c r="R19" s="2">
        <x:v>88</x:v>
      </x:c>
      <x:c r="S19" s="2">
        <x:v>76</x:v>
      </x:c>
      <x:c r="T19" s="2">
        <x:v>80</x:v>
      </x:c>
      <x:c r="U19" s="2">
        <x:v>95.3</x:v>
      </x:c>
      <x:c r="V19" s="2">
        <x:v>73.5</x:v>
      </x:c>
      <x:c r="W19" s="2">
        <x:v>76.599999999999994</x:v>
      </x:c>
      <x:c r="X19" s="2">
        <x:v>82.2</x:v>
      </x:c>
      <x:c r="Y19" s="2">
        <x:v>79.7</x:v>
      </x:c>
      <x:c r="Z19" s="2">
        <x:v>75.5</x:v>
      </x:c>
      <x:c r="AA19" s="2">
        <x:v>81.5</x:v>
      </x:c>
      <x:c r="AB19" s="2">
        <x:v>85.3</x:v>
      </x:c>
      <x:c r="AC19" s="2">
        <x:v>85.6</x:v>
      </x:c>
      <x:c r="AD19" s="2">
        <x:v>89.6</x:v>
      </x:c>
      <x:c r="AE19" s="2">
        <x:v>86</x:v>
      </x:c>
      <x:c r="AF19" s="2">
        <x:v>71.7</x:v>
      </x:c>
      <x:c r="AG19" s="2">
        <x:v>76</x:v>
      </x:c>
    </x:row>
    <x:row r="20">
      <x:c r="A20" s="2" t="s">
        <x:v>382</x:v>
      </x:c>
      <x:c r="B20" s="2">
        <x:v>3</x:v>
      </x:c>
      <x:c r="C20" s="2">
        <x:v>73.8</x:v>
      </x:c>
      <x:c r="D20" s="2">
        <x:v>65.2</x:v>
      </x:c>
      <x:c r="E20" s="2">
        <x:v>64.8</x:v>
      </x:c>
      <x:c r="F20" s="2">
        <x:v>92</x:v>
      </x:c>
      <x:c r="G20" s="2">
        <x:v>89.3</x:v>
      </x:c>
      <x:c r="H20" s="2">
        <x:v>88.8</x:v>
      </x:c>
      <x:c r="I20" s="2">
        <x:v>84.2</x:v>
      </x:c>
      <x:c r="J20" s="2">
        <x:v>71.7</x:v>
      </x:c>
      <x:c r="K20" s="2">
        <x:v>89.8</x:v>
      </x:c>
      <x:c r="L20" s="2">
        <x:v>81.599999999999994</x:v>
      </x:c>
      <x:c r="M20" s="2">
        <x:v>94</x:v>
      </x:c>
      <x:c r="N20" s="2">
        <x:v>76.400000000000006</x:v>
      </x:c>
      <x:c r="O20" s="2">
        <x:v>95.3</x:v>
      </x:c>
      <x:c r="P20" s="2">
        <x:v>95.8</x:v>
      </x:c>
      <x:c r="Q20" s="2">
        <x:v>89.6</x:v>
      </x:c>
      <x:c r="R20" s="2">
        <x:v>88</x:v>
      </x:c>
      <x:c r="S20" s="2">
        <x:v>76</x:v>
      </x:c>
      <x:c r="T20" s="2">
        <x:v>80</x:v>
      </x:c>
      <x:c r="U20" s="2">
        <x:v>95.3</x:v>
      </x:c>
      <x:c r="V20" s="2">
        <x:v>73.5</x:v>
      </x:c>
      <x:c r="W20" s="2">
        <x:v>76.599999999999994</x:v>
      </x:c>
      <x:c r="X20" s="2">
        <x:v>82.2</x:v>
      </x:c>
      <x:c r="Y20" s="2">
        <x:v>79.7</x:v>
      </x:c>
      <x:c r="Z20" s="2">
        <x:v>75.5</x:v>
      </x:c>
      <x:c r="AA20" s="2">
        <x:v>81.5</x:v>
      </x:c>
      <x:c r="AB20" s="2">
        <x:v>85.3</x:v>
      </x:c>
      <x:c r="AC20" s="2">
        <x:v>87.6</x:v>
      </x:c>
      <x:c r="AD20" s="2">
        <x:v>89.6</x:v>
      </x:c>
      <x:c r="AE20" s="2">
        <x:v>86</x:v>
      </x:c>
      <x:c r="AF20" s="2">
        <x:v>71.7</x:v>
      </x:c>
      <x:c r="AG20" s="2">
        <x:v>76</x:v>
      </x:c>
    </x:row>
    <x:row r="21">
      <x:c r="A21" s="2" t="s">
        <x:v>386</x:v>
      </x:c>
      <x:c r="B21" s="2">
        <x:v>3</x:v>
      </x:c>
      <x:c r="C21" s="2">
        <x:v>73.8</x:v>
      </x:c>
      <x:c r="D21" s="2">
        <x:v>65.2</x:v>
      </x:c>
      <x:c r="E21" s="2">
        <x:v>64.8</x:v>
      </x:c>
      <x:c r="F21" s="2">
        <x:v>92</x:v>
      </x:c>
      <x:c r="G21" s="2">
        <x:v>89.3</x:v>
      </x:c>
      <x:c r="H21" s="2">
        <x:v>90.8</x:v>
      </x:c>
      <x:c r="I21" s="2">
        <x:v>86.2</x:v>
      </x:c>
      <x:c r="J21" s="2">
        <x:v>71.7</x:v>
      </x:c>
      <x:c r="K21" s="2">
        <x:v>89.8</x:v>
      </x:c>
      <x:c r="L21" s="2">
        <x:v>81.599999999999994</x:v>
      </x:c>
      <x:c r="M21" s="2">
        <x:v>94</x:v>
      </x:c>
      <x:c r="N21" s="2">
        <x:v>76.400000000000006</x:v>
      </x:c>
      <x:c r="O21" s="2">
        <x:v>95.3</x:v>
      </x:c>
      <x:c r="P21" s="2">
        <x:v>95.8</x:v>
      </x:c>
      <x:c r="Q21" s="2">
        <x:v>89.6</x:v>
      </x:c>
      <x:c r="R21" s="2">
        <x:v>88</x:v>
      </x:c>
      <x:c r="S21" s="2">
        <x:v>76</x:v>
      </x:c>
      <x:c r="T21" s="2">
        <x:v>80</x:v>
      </x:c>
      <x:c r="U21" s="2">
        <x:v>95.3</x:v>
      </x:c>
      <x:c r="V21" s="2">
        <x:v>73.5</x:v>
      </x:c>
      <x:c r="W21" s="2">
        <x:v>76.599999999999994</x:v>
      </x:c>
      <x:c r="X21" s="2">
        <x:v>82.2</x:v>
      </x:c>
      <x:c r="Y21" s="2">
        <x:v>79.7</x:v>
      </x:c>
      <x:c r="Z21" s="2">
        <x:v>75.5</x:v>
      </x:c>
      <x:c r="AA21" s="2">
        <x:v>81.5</x:v>
      </x:c>
      <x:c r="AB21" s="2">
        <x:v>85.3</x:v>
      </x:c>
      <x:c r="AC21" s="2">
        <x:v>85.6</x:v>
      </x:c>
      <x:c r="AD21" s="2">
        <x:v>89.6</x:v>
      </x:c>
      <x:c r="AE21" s="2">
        <x:v>86</x:v>
      </x:c>
      <x:c r="AF21" s="2">
        <x:v>71.7</x:v>
      </x:c>
      <x:c r="AG21" s="2">
        <x:v>76</x:v>
      </x:c>
    </x:row>
    <x:row r="22">
      <x:c r="A22" s="2" t="s">
        <x:v>392</x:v>
      </x:c>
      <x:c r="B22" s="2">
        <x:v>2</x:v>
      </x:c>
      <x:c r="C22" s="2">
        <x:v>52.1</x:v>
      </x:c>
      <x:c r="D22" s="2">
        <x:v>75.5</x:v>
      </x:c>
      <x:c r="E22" s="2">
        <x:v>55</x:v>
      </x:c>
      <x:c r="F22" s="2">
        <x:v>76.2</x:v>
      </x:c>
      <x:c r="G22" s="2">
        <x:v>65.599999999999994</x:v>
      </x:c>
      <x:c r="H22" s="2">
        <x:v>69.099999999999994</x:v>
      </x:c>
      <x:c r="I22" s="2">
        <x:v>80.400000000000006</x:v>
      </x:c>
      <x:c r="J22" s="2">
        <x:v>63.9</x:v>
      </x:c>
      <x:c r="K22" s="2">
        <x:v>70.099999999999994</x:v>
      </x:c>
      <x:c r="L22" s="2">
        <x:v>71.8</x:v>
      </x:c>
      <x:c r="M22" s="2">
        <x:v>68.2</x:v>
      </x:c>
      <x:c r="N22" s="2">
        <x:v>66.7</x:v>
      </x:c>
      <x:c r="O22" s="2">
        <x:v>69.599999999999994</x:v>
      </x:c>
      <x:c r="P22" s="2">
        <x:v>92.1</x:v>
      </x:c>
      <x:c r="Q22" s="2">
        <x:v>71.8</x:v>
      </x:c>
      <x:c r="R22" s="2">
        <x:v>78.2</x:v>
      </x:c>
      <x:c r="S22" s="2">
        <x:v>70.2</x:v>
      </x:c>
      <x:c r="T22" s="2">
        <x:v>85.4</x:v>
      </x:c>
      <x:c r="U22" s="2">
        <x:v>91.6</x:v>
      </x:c>
      <x:c r="V22" s="2">
        <x:v>69.7</x:v>
      </x:c>
      <x:c r="W22" s="2">
        <x:v>64.8</x:v>
      </x:c>
      <x:c r="X22" s="2">
        <x:v>72.5</x:v>
      </x:c>
      <x:c r="Y22" s="2">
        <x:v>66</x:v>
      </x:c>
      <x:c r="Z22" s="2">
        <x:v>84.2</x:v>
      </x:c>
      <x:c r="AA22" s="2">
        <x:v>75.8</x:v>
      </x:c>
      <x:c r="AB22" s="2">
        <x:v>75.599999999999994</x:v>
      </x:c>
      <x:c r="AC22" s="2">
        <x:v>85.8</x:v>
      </x:c>
      <x:c r="AD22" s="2">
        <x:v>69.8</x:v>
      </x:c>
      <x:c r="AE22" s="2">
        <x:v>62.2</x:v>
      </x:c>
      <x:c r="AF22" s="2">
        <x:v>67.900000000000006</x:v>
      </x:c>
      <x:c r="AG22" s="2">
        <x:v>68.2</x:v>
      </x:c>
    </x:row>
    <x:row r="23">
      <x:c r="A23" s="2" t="s">
        <x:v>396</x:v>
      </x:c>
      <x:c r="B23" s="2">
        <x:v>2</x:v>
      </x:c>
      <x:c r="C23" s="2">
        <x:v>52.1</x:v>
      </x:c>
      <x:c r="D23" s="2">
        <x:v>73.5</x:v>
      </x:c>
      <x:c r="E23" s="2">
        <x:v>55</x:v>
      </x:c>
      <x:c r="F23" s="2">
        <x:v>76.2</x:v>
      </x:c>
      <x:c r="G23" s="2">
        <x:v>65.599999999999994</x:v>
      </x:c>
      <x:c r="H23" s="2">
        <x:v>69.099999999999994</x:v>
      </x:c>
      <x:c r="I23" s="2">
        <x:v>82.8</x:v>
      </x:c>
      <x:c r="J23" s="2">
        <x:v>63.9</x:v>
      </x:c>
      <x:c r="K23" s="2">
        <x:v>70.099999999999994</x:v>
      </x:c>
      <x:c r="L23" s="2">
        <x:v>71.8</x:v>
      </x:c>
      <x:c r="M23" s="2">
        <x:v>68.2</x:v>
      </x:c>
      <x:c r="N23" s="2">
        <x:v>66.7</x:v>
      </x:c>
      <x:c r="O23" s="2">
        <x:v>69.599999999999994</x:v>
      </x:c>
      <x:c r="P23" s="2">
        <x:v>90.1</x:v>
      </x:c>
      <x:c r="Q23" s="2">
        <x:v>71.8</x:v>
      </x:c>
      <x:c r="R23" s="2">
        <x:v>78.2</x:v>
      </x:c>
      <x:c r="S23" s="2">
        <x:v>70.2</x:v>
      </x:c>
      <x:c r="T23" s="2">
        <x:v>85.4</x:v>
      </x:c>
      <x:c r="U23" s="2">
        <x:v>91.6</x:v>
      </x:c>
      <x:c r="V23" s="2">
        <x:v>71.3</x:v>
      </x:c>
      <x:c r="W23" s="2">
        <x:v>64.8</x:v>
      </x:c>
      <x:c r="X23" s="2">
        <x:v>72.5</x:v>
      </x:c>
      <x:c r="Y23" s="2">
        <x:v>66</x:v>
      </x:c>
      <x:c r="Z23" s="2">
        <x:v>81.8</x:v>
      </x:c>
      <x:c r="AA23" s="2">
        <x:v>75.8</x:v>
      </x:c>
      <x:c r="AB23" s="2">
        <x:v>75.599999999999994</x:v>
      </x:c>
      <x:c r="AC23" s="2">
        <x:v>85.8</x:v>
      </x:c>
      <x:c r="AD23" s="2">
        <x:v>69.8</x:v>
      </x:c>
      <x:c r="AE23" s="2">
        <x:v>62.2</x:v>
      </x:c>
      <x:c r="AF23" s="2">
        <x:v>67.900000000000006</x:v>
      </x:c>
      <x:c r="AG23" s="2">
        <x:v>68.2</x:v>
      </x:c>
    </x:row>
    <x:row r="24">
      <x:c r="A24" s="2" t="s">
        <x:v>400</x:v>
      </x:c>
      <x:c r="B24" s="2">
        <x:v>2</x:v>
      </x:c>
      <x:c r="C24" s="2">
        <x:v>55.9</x:v>
      </x:c>
      <x:c r="D24" s="2">
        <x:v>79.2</x:v>
      </x:c>
      <x:c r="E24" s="2">
        <x:v>58.8</x:v>
      </x:c>
      <x:c r="F24" s="2">
        <x:v>80</x:v>
      </x:c>
      <x:c r="G24" s="2">
        <x:v>69.3</x:v>
      </x:c>
      <x:c r="H24" s="2">
        <x:v>72.8</x:v>
      </x:c>
      <x:c r="I24" s="2">
        <x:v>84.2</x:v>
      </x:c>
      <x:c r="J24" s="2">
        <x:v>67.7</x:v>
      </x:c>
      <x:c r="K24" s="2">
        <x:v>73.8</x:v>
      </x:c>
      <x:c r="L24" s="2">
        <x:v>75.599999999999994</x:v>
      </x:c>
      <x:c r="M24" s="2">
        <x:v>72</x:v>
      </x:c>
      <x:c r="N24" s="2">
        <x:v>70.400000000000006</x:v>
      </x:c>
      <x:c r="O24" s="2">
        <x:v>73.3</x:v>
      </x:c>
      <x:c r="P24" s="2">
        <x:v>95</x:v>
      </x:c>
      <x:c r="Q24" s="2">
        <x:v>75.599999999999994</x:v>
      </x:c>
      <x:c r="R24" s="2">
        <x:v>82</x:v>
      </x:c>
      <x:c r="S24" s="2">
        <x:v>74</x:v>
      </x:c>
      <x:c r="T24" s="2">
        <x:v>88.4</x:v>
      </x:c>
      <x:c r="U24" s="2">
        <x:v>93.3</x:v>
      </x:c>
      <x:c r="V24" s="2">
        <x:v>73.5</x:v>
      </x:c>
      <x:c r="W24" s="2">
        <x:v>68.599999999999994</x:v>
      </x:c>
      <x:c r="X24" s="2">
        <x:v>76.2</x:v>
      </x:c>
      <x:c r="Y24" s="2">
        <x:v>69.7</x:v>
      </x:c>
      <x:c r="Z24" s="2">
        <x:v>88.7</x:v>
      </x:c>
      <x:c r="AA24" s="2">
        <x:v>79.5</x:v>
      </x:c>
      <x:c r="AB24" s="2">
        <x:v>79.3</x:v>
      </x:c>
      <x:c r="AC24" s="2">
        <x:v>93.6</x:v>
      </x:c>
      <x:c r="AD24" s="2">
        <x:v>73.599999999999994</x:v>
      </x:c>
      <x:c r="AE24" s="2">
        <x:v>66</x:v>
      </x:c>
      <x:c r="AF24" s="2">
        <x:v>71.7</x:v>
      </x:c>
      <x:c r="AG24" s="2">
        <x:v>72</x:v>
      </x:c>
    </x:row>
    <x:row r="25">
      <x:c r="A25" s="2" t="s">
        <x:v>404</x:v>
      </x:c>
      <x:c r="B25" s="2">
        <x:v>2</x:v>
      </x:c>
      <x:c r="C25" s="2">
        <x:v>52.1</x:v>
      </x:c>
      <x:c r="D25" s="2">
        <x:v>75.099999999999994</x:v>
      </x:c>
      <x:c r="E25" s="2">
        <x:v>55</x:v>
      </x:c>
      <x:c r="F25" s="2">
        <x:v>76.2</x:v>
      </x:c>
      <x:c r="G25" s="2">
        <x:v>65.599999999999994</x:v>
      </x:c>
      <x:c r="H25" s="2">
        <x:v>69.099999999999994</x:v>
      </x:c>
      <x:c r="I25" s="2">
        <x:v>80.400000000000006</x:v>
      </x:c>
      <x:c r="J25" s="2">
        <x:v>63.9</x:v>
      </x:c>
      <x:c r="K25" s="2">
        <x:v>70.099999999999994</x:v>
      </x:c>
      <x:c r="L25" s="2">
        <x:v>71.8</x:v>
      </x:c>
      <x:c r="M25" s="2">
        <x:v>68.2</x:v>
      </x:c>
      <x:c r="N25" s="2">
        <x:v>66.7</x:v>
      </x:c>
      <x:c r="O25" s="2">
        <x:v>69.599999999999994</x:v>
      </x:c>
      <x:c r="P25" s="2">
        <x:v>91.2</x:v>
      </x:c>
      <x:c r="Q25" s="2">
        <x:v>71.8</x:v>
      </x:c>
      <x:c r="R25" s="2">
        <x:v>78.2</x:v>
      </x:c>
      <x:c r="S25" s="2">
        <x:v>70.2</x:v>
      </x:c>
      <x:c r="T25" s="2">
        <x:v>85.4</x:v>
      </x:c>
      <x:c r="U25" s="2">
        <x:v>91.6</x:v>
      </x:c>
      <x:c r="V25" s="2">
        <x:v>69.7</x:v>
      </x:c>
      <x:c r="W25" s="2">
        <x:v>64.8</x:v>
      </x:c>
      <x:c r="X25" s="2">
        <x:v>72.5</x:v>
      </x:c>
      <x:c r="Y25" s="2">
        <x:v>66</x:v>
      </x:c>
      <x:c r="Z25" s="2">
        <x:v>83.8</x:v>
      </x:c>
      <x:c r="AA25" s="2">
        <x:v>75.8</x:v>
      </x:c>
      <x:c r="AB25" s="2">
        <x:v>75.599999999999994</x:v>
      </x:c>
      <x:c r="AC25" s="2">
        <x:v>85.8</x:v>
      </x:c>
      <x:c r="AD25" s="2">
        <x:v>69.8</x:v>
      </x:c>
      <x:c r="AE25" s="2">
        <x:v>62.2</x:v>
      </x:c>
      <x:c r="AF25" s="2">
        <x:v>67.900000000000006</x:v>
      </x:c>
      <x:c r="AG25" s="2">
        <x:v>68.2</x:v>
      </x:c>
    </x:row>
    <x:row r="26">
      <x:c r="A26" s="2" t="s">
        <x:v>408</x:v>
      </x:c>
      <x:c r="B26" s="2">
        <x:v>2</x:v>
      </x:c>
      <x:c r="C26" s="2">
        <x:v>55.9</x:v>
      </x:c>
      <x:c r="D26" s="2">
        <x:v>77.2</x:v>
      </x:c>
      <x:c r="E26" s="2">
        <x:v>58.8</x:v>
      </x:c>
      <x:c r="F26" s="2">
        <x:v>80</x:v>
      </x:c>
      <x:c r="G26" s="2">
        <x:v>69.3</x:v>
      </x:c>
      <x:c r="H26" s="2">
        <x:v>72.8</x:v>
      </x:c>
      <x:c r="I26" s="2">
        <x:v>84.2</x:v>
      </x:c>
      <x:c r="J26" s="2">
        <x:v>67.7</x:v>
      </x:c>
      <x:c r="K26" s="2">
        <x:v>73.8</x:v>
      </x:c>
      <x:c r="L26" s="2">
        <x:v>79.599999999999994</x:v>
      </x:c>
      <x:c r="M26" s="2">
        <x:v>72</x:v>
      </x:c>
      <x:c r="N26" s="2">
        <x:v>70.400000000000006</x:v>
      </x:c>
      <x:c r="O26" s="2">
        <x:v>73.3</x:v>
      </x:c>
      <x:c r="P26" s="2">
        <x:v>94.2</x:v>
      </x:c>
      <x:c r="Q26" s="2">
        <x:v>75.599999999999994</x:v>
      </x:c>
      <x:c r="R26" s="2">
        <x:v>86</x:v>
      </x:c>
      <x:c r="S26" s="2">
        <x:v>74</x:v>
      </x:c>
      <x:c r="T26" s="2">
        <x:v>89.2</x:v>
      </x:c>
      <x:c r="U26" s="2">
        <x:v>93.3</x:v>
      </x:c>
      <x:c r="V26" s="2">
        <x:v>73.5</x:v>
      </x:c>
      <x:c r="W26" s="2">
        <x:v>68.599999999999994</x:v>
      </x:c>
      <x:c r="X26" s="2">
        <x:v>76.2</x:v>
      </x:c>
      <x:c r="Y26" s="2">
        <x:v>69.7</x:v>
      </x:c>
      <x:c r="Z26" s="2">
        <x:v>85.5</x:v>
      </x:c>
      <x:c r="AA26" s="2">
        <x:v>79.5</x:v>
      </x:c>
      <x:c r="AB26" s="2">
        <x:v>79.3</x:v>
      </x:c>
      <x:c r="AC26" s="2">
        <x:v>93.6</x:v>
      </x:c>
      <x:c r="AD26" s="2">
        <x:v>73.599999999999994</x:v>
      </x:c>
      <x:c r="AE26" s="2">
        <x:v>66</x:v>
      </x:c>
      <x:c r="AF26" s="2">
        <x:v>71.7</x:v>
      </x:c>
      <x:c r="AG26" s="2">
        <x:v>72</x:v>
      </x:c>
    </x:row>
    <x:row r="27">
      <x:c r="A27" s="2" t="s">
        <x:v>412</x:v>
      </x:c>
      <x:c r="B27" s="2">
        <x:v>2</x:v>
      </x:c>
      <x:c r="C27" s="2">
        <x:v>52.1</x:v>
      </x:c>
      <x:c r="D27" s="2">
        <x:v>73.5</x:v>
      </x:c>
      <x:c r="E27" s="2">
        <x:v>55</x:v>
      </x:c>
      <x:c r="F27" s="2">
        <x:v>76.2</x:v>
      </x:c>
      <x:c r="G27" s="2">
        <x:v>65.599999999999994</x:v>
      </x:c>
      <x:c r="H27" s="2">
        <x:v>69.099999999999994</x:v>
      </x:c>
      <x:c r="I27" s="2">
        <x:v>80.400000000000006</x:v>
      </x:c>
      <x:c r="J27" s="2">
        <x:v>63.9</x:v>
      </x:c>
      <x:c r="K27" s="2">
        <x:v>70.099999999999994</x:v>
      </x:c>
      <x:c r="L27" s="2">
        <x:v>71.8</x:v>
      </x:c>
      <x:c r="M27" s="2">
        <x:v>68.2</x:v>
      </x:c>
      <x:c r="N27" s="2">
        <x:v>66.7</x:v>
      </x:c>
      <x:c r="O27" s="2">
        <x:v>69.599999999999994</x:v>
      </x:c>
      <x:c r="P27" s="2">
        <x:v>91.2</x:v>
      </x:c>
      <x:c r="Q27" s="2">
        <x:v>71.8</x:v>
      </x:c>
      <x:c r="R27" s="2">
        <x:v>78.2</x:v>
      </x:c>
      <x:c r="S27" s="2">
        <x:v>70.2</x:v>
      </x:c>
      <x:c r="T27" s="2">
        <x:v>84.6</x:v>
      </x:c>
      <x:c r="U27" s="2">
        <x:v>91.6</x:v>
      </x:c>
      <x:c r="V27" s="2">
        <x:v>69.7</x:v>
      </x:c>
      <x:c r="W27" s="2">
        <x:v>64.8</x:v>
      </x:c>
      <x:c r="X27" s="2">
        <x:v>72.5</x:v>
      </x:c>
      <x:c r="Y27" s="2">
        <x:v>66</x:v>
      </x:c>
      <x:c r="Z27" s="2">
        <x:v>83.8</x:v>
      </x:c>
      <x:c r="AA27" s="2">
        <x:v>75.8</x:v>
      </x:c>
      <x:c r="AB27" s="2">
        <x:v>75.599999999999994</x:v>
      </x:c>
      <x:c r="AC27" s="2">
        <x:v>87.4</x:v>
      </x:c>
      <x:c r="AD27" s="2">
        <x:v>69.8</x:v>
      </x:c>
      <x:c r="AE27" s="2">
        <x:v>62.2</x:v>
      </x:c>
      <x:c r="AF27" s="2">
        <x:v>67.900000000000006</x:v>
      </x:c>
      <x:c r="AG27" s="2">
        <x:v>68.2</x:v>
      </x:c>
    </x:row>
    <x:row r="28">
      <x:c r="A28" s="2" t="s">
        <x:v>418</x:v>
      </x:c>
      <x:c r="B28" s="2">
        <x:v>1</x:v>
      </x:c>
      <x:c r="C28" s="2">
        <x:v>43.6</x:v>
      </x:c>
      <x:c r="D28" s="2">
        <x:v>49</x:v>
      </x:c>
      <x:c r="E28" s="2">
        <x:v>46.5</x:v>
      </x:c>
      <x:c r="F28" s="2">
        <x:v>59.8</x:v>
      </x:c>
      <x:c r="G28" s="2">
        <x:v>53.1</x:v>
      </x:c>
      <x:c r="H28" s="2">
        <x:v>79.8</x:v>
      </x:c>
      <x:c r="I28" s="2">
        <x:v>55.9</x:v>
      </x:c>
      <x:c r="J28" s="2">
        <x:v>61.4</x:v>
      </x:c>
      <x:c r="K28" s="2">
        <x:v>87.6</x:v>
      </x:c>
      <x:c r="L28" s="2">
        <x:v>63.3</x:v>
      </x:c>
      <x:c r="M28" s="2">
        <x:v>57.8</x:v>
      </x:c>
      <x:c r="N28" s="2">
        <x:v>52.1</x:v>
      </x:c>
      <x:c r="O28" s="2">
        <x:v>57.1</x:v>
      </x:c>
      <x:c r="P28" s="2">
        <x:v>61.6</x:v>
      </x:c>
      <x:c r="Q28" s="2">
        <x:v>57.3</x:v>
      </x:c>
      <x:c r="R28" s="2">
        <x:v>57.8</x:v>
      </x:c>
      <x:c r="S28" s="2">
        <x:v>67.7</x:v>
      </x:c>
      <x:c r="T28" s="2">
        <x:v>61.7</x:v>
      </x:c>
      <x:c r="U28" s="2">
        <x:v>61.1</x:v>
      </x:c>
      <x:c r="V28" s="2">
        <x:v>67.2</x:v>
      </x:c>
      <x:c r="W28" s="2">
        <x:v>74.8</x:v>
      </x:c>
      <x:c r="X28" s="2">
        <x:v>54</x:v>
      </x:c>
      <x:c r="Y28" s="2">
        <x:v>63.5</x:v>
      </x:c>
      <x:c r="Z28" s="2">
        <x:v>63.2</x:v>
      </x:c>
      <x:c r="AA28" s="2">
        <x:v>71.2</x:v>
      </x:c>
      <x:c r="AB28" s="2">
        <x:v>67.099999999999994</x:v>
      </x:c>
      <x:c r="AC28" s="2">
        <x:v>61.3</x:v>
      </x:c>
      <x:c r="AD28" s="2">
        <x:v>89.3</x:v>
      </x:c>
      <x:c r="AE28" s="2">
        <x:v>55.7</x:v>
      </x:c>
      <x:c r="AF28" s="2">
        <x:v>69.400000000000006</x:v>
      </x:c>
      <x:c r="AG28" s="2">
        <x:v>51.7</x:v>
      </x:c>
    </x:row>
    <x:row r="29">
      <x:c r="A29" s="2" t="s">
        <x:v>422</x:v>
      </x:c>
      <x:c r="B29" s="2">
        <x:v>1</x:v>
      </x:c>
      <x:c r="C29" s="2">
        <x:v>48.1</x:v>
      </x:c>
      <x:c r="D29" s="2">
        <x:v>53.5</x:v>
      </x:c>
      <x:c r="E29" s="2">
        <x:v>51</x:v>
      </x:c>
      <x:c r="F29" s="2">
        <x:v>66.2</x:v>
      </x:c>
      <x:c r="G29" s="2">
        <x:v>57.6</x:v>
      </x:c>
      <x:c r="H29" s="2">
        <x:v>81.099999999999994</x:v>
      </x:c>
      <x:c r="I29" s="2">
        <x:v>60.4</x:v>
      </x:c>
      <x:c r="J29" s="2">
        <x:v>65.900000000000006</x:v>
      </x:c>
      <x:c r="K29" s="2">
        <x:v>92.1</x:v>
      </x:c>
      <x:c r="L29" s="2">
        <x:v>67.8</x:v>
      </x:c>
      <x:c r="M29" s="2">
        <x:v>62.2</x:v>
      </x:c>
      <x:c r="N29" s="2">
        <x:v>56.6</x:v>
      </x:c>
      <x:c r="O29" s="2">
        <x:v>61.6</x:v>
      </x:c>
      <x:c r="P29" s="2">
        <x:v>66.099999999999994</x:v>
      </x:c>
      <x:c r="Q29" s="2">
        <x:v>61.8</x:v>
      </x:c>
      <x:c r="R29" s="2">
        <x:v>62.2</x:v>
      </x:c>
      <x:c r="S29" s="2">
        <x:v>72.2</x:v>
      </x:c>
      <x:c r="T29" s="2">
        <x:v>66.2</x:v>
      </x:c>
      <x:c r="U29" s="2">
        <x:v>65.599999999999994</x:v>
      </x:c>
      <x:c r="V29" s="2">
        <x:v>71.7</x:v>
      </x:c>
      <x:c r="W29" s="2">
        <x:v>76.8</x:v>
      </x:c>
      <x:c r="X29" s="2">
        <x:v>58.5</x:v>
      </x:c>
      <x:c r="Y29" s="2">
        <x:v>68</x:v>
      </x:c>
      <x:c r="Z29" s="2">
        <x:v>67.8</x:v>
      </x:c>
      <x:c r="AA29" s="2">
        <x:v>79</x:v>
      </x:c>
      <x:c r="AB29" s="2">
        <x:v>71.599999999999994</x:v>
      </x:c>
      <x:c r="AC29" s="2">
        <x:v>65.8</x:v>
      </x:c>
      <x:c r="AD29" s="2">
        <x:v>92.2</x:v>
      </x:c>
      <x:c r="AE29" s="2">
        <x:v>60.2</x:v>
      </x:c>
      <x:c r="AF29" s="2">
        <x:v>75.099999999999994</x:v>
      </x:c>
      <x:c r="AG29" s="2">
        <x:v>56.2</x:v>
      </x:c>
    </x:row>
    <x:row r="30">
      <x:c r="A30" s="2" t="s">
        <x:v>426</x:v>
      </x:c>
      <x:c r="B30" s="2">
        <x:v>1</x:v>
      </x:c>
      <x:c r="C30" s="2">
        <x:v>43.6</x:v>
      </x:c>
      <x:c r="D30" s="2">
        <x:v>49</x:v>
      </x:c>
      <x:c r="E30" s="2">
        <x:v>46.5</x:v>
      </x:c>
      <x:c r="F30" s="2">
        <x:v>59.8</x:v>
      </x:c>
      <x:c r="G30" s="2">
        <x:v>53.1</x:v>
      </x:c>
      <x:c r="H30" s="2">
        <x:v>78.599999999999994</x:v>
      </x:c>
      <x:c r="I30" s="2">
        <x:v>55.9</x:v>
      </x:c>
      <x:c r="J30" s="2">
        <x:v>61.4</x:v>
      </x:c>
      <x:c r="K30" s="2">
        <x:v>87.6</x:v>
      </x:c>
      <x:c r="L30" s="2">
        <x:v>63.3</x:v>
      </x:c>
      <x:c r="M30" s="2">
        <x:v>57.8</x:v>
      </x:c>
      <x:c r="N30" s="2">
        <x:v>52.1</x:v>
      </x:c>
      <x:c r="O30" s="2">
        <x:v>57.1</x:v>
      </x:c>
      <x:c r="P30" s="2">
        <x:v>61.6</x:v>
      </x:c>
      <x:c r="Q30" s="2">
        <x:v>57.3</x:v>
      </x:c>
      <x:c r="R30" s="2">
        <x:v>57.8</x:v>
      </x:c>
      <x:c r="S30" s="2">
        <x:v>67.7</x:v>
      </x:c>
      <x:c r="T30" s="2">
        <x:v>61.7</x:v>
      </x:c>
      <x:c r="U30" s="2">
        <x:v>61.1</x:v>
      </x:c>
      <x:c r="V30" s="2">
        <x:v>67.2</x:v>
      </x:c>
      <x:c r="W30" s="2">
        <x:v>74.8</x:v>
      </x:c>
      <x:c r="X30" s="2">
        <x:v>54</x:v>
      </x:c>
      <x:c r="Y30" s="2">
        <x:v>63.5</x:v>
      </x:c>
      <x:c r="Z30" s="2">
        <x:v>63.2</x:v>
      </x:c>
      <x:c r="AA30" s="2">
        <x:v>71.2</x:v>
      </x:c>
      <x:c r="AB30" s="2">
        <x:v>67.099999999999994</x:v>
      </x:c>
      <x:c r="AC30" s="2">
        <x:v>61.3</x:v>
      </x:c>
      <x:c r="AD30" s="2">
        <x:v>88.6</x:v>
      </x:c>
      <x:c r="AE30" s="2">
        <x:v>55.7</x:v>
      </x:c>
      <x:c r="AF30" s="2">
        <x:v>69.8</x:v>
      </x:c>
      <x:c r="AG30" s="2">
        <x:v>51.7</x:v>
      </x:c>
    </x:row>
  </x:sheetData>
  <x:mergeCells>
    <x:mergeCell ref="A1:K1"/>
    <x:mergeCell ref="A2:K2"/>
  </x:mergeCells>
  <x:conditionalFormatting sqref="C5:K30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C5:AG30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8" customWidth="1"/>
    <x:col min="2" max="3" width="18" customWidth="1"/>
    <x:col min="4" max="4" width="34" customWidth="1"/>
    <x:col min="5" max="5" width="30" customWidth="1"/>
    <x:col min="6" max="6" width="34" customWidth="1"/>
    <x:col min="7" max="7" width="48" customWidth="1"/>
    <x:col min="8" max="8" width="28" customWidth="1"/>
    <x:col min="9" max="9" width="34" customWidth="1"/>
    <x:col min="10" max="10" width="38" customWidth="1"/>
    <x:col min="11" max="11" width="16" customWidth="1"/>
    <x:col min="12" max="13" width="13" customWidth="1"/>
    <x:col min="14" max="14" width="38" customWidth="1"/>
  </x:cols>
  <x:sheetData>
    <x:row r="1" ht="17.850000381469727" customHeight="1">
      <x:c r="A1" s="45" t="s">
        <x:v>596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 ht="15.300000190734863" customHeight="1">
      <x:c r="A2" s="46" t="s">
        <x:v>597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3" ht="13.949999809265137" customHeight="1">
      <x:c r="A3" s="47" t="s">
        <x:v>598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</x:row>
    <x:row r="5" ht="22.950000762939453" customHeight="1">
      <x:c r="A5" s="14" t="s">
        <x:v>599</x:v>
      </x:c>
      <x:c r="B5" s="14" t="s">
        <x:v>600</x:v>
      </x:c>
      <x:c r="C5" s="14" t="s">
        <x:v>601</x:v>
      </x:c>
      <x:c r="D5" s="14" t="s">
        <x:v>602</x:v>
      </x:c>
      <x:c r="E5" s="14" t="s">
        <x:v>603</x:v>
      </x:c>
      <x:c r="F5" s="14" t="s">
        <x:v>604</x:v>
      </x:c>
      <x:c r="G5" s="14" t="s">
        <x:v>605</x:v>
      </x:c>
      <x:c r="H5" s="14" t="s">
        <x:v>606</x:v>
      </x:c>
      <x:c r="I5" s="14" t="s">
        <x:v>607</x:v>
      </x:c>
      <x:c r="J5" s="14" t="s">
        <x:v>608</x:v>
      </x:c>
      <x:c r="K5" s="14" t="s">
        <x:v>609</x:v>
      </x:c>
      <x:c r="L5" s="14" t="s">
        <x:v>610</x:v>
      </x:c>
      <x:c r="M5" s="14" t="s">
        <x:v>611</x:v>
      </x:c>
      <x:c r="N5" s="14" t="s">
        <x:v>612</x:v>
      </x:c>
    </x:row>
    <x:row r="6" ht="34.5" customHeight="1">
      <x:c r="A6" s="20">
        <x:v>1</x:v>
      </x:c>
      <x:c r="B6" s="20" t="s">
        <x:v>613</x:v>
      </x:c>
      <x:c r="C6" s="20" t="s">
        <x:v>614</x:v>
      </x:c>
      <x:c r="D6" s="20" t="s">
        <x:v>615</x:v>
      </x:c>
      <x:c r="E6" s="20" t="s">
        <x:v>616</x:v>
      </x:c>
      <x:c r="F6" s="20" t="s">
        <x:v>617</x:v>
      </x:c>
      <x:c r="G6" s="20" t="s">
        <x:v>618</x:v>
      </x:c>
      <x:c r="H6" s="20" t="s">
        <x:v>619</x:v>
      </x:c>
      <x:c r="I6" s="20" t="s">
        <x:v>620</x:v>
      </x:c>
      <x:c r="J6" s="20" t="s">
        <x:v>621</x:v>
      </x:c>
      <x:c r="K6" s="20" t="s">
        <x:v>622</x:v>
      </x:c>
      <x:c r="L6" s="21"/>
      <x:c r="M6" s="21"/>
      <x:c r="N6" s="20" t="s">
        <x:v>623</x:v>
      </x:c>
    </x:row>
    <x:row r="7" ht="34.5" customHeight="1">
      <x:c r="A7" s="16">
        <x:v>2</x:v>
      </x:c>
      <x:c r="B7" s="16" t="s">
        <x:v>613</x:v>
      </x:c>
      <x:c r="C7" s="15" t="s">
        <x:v>624</x:v>
      </x:c>
      <x:c r="D7" s="15" t="s">
        <x:v>625</x:v>
      </x:c>
      <x:c r="E7" s="15" t="s">
        <x:v>626</x:v>
      </x:c>
      <x:c r="F7" s="15" t="s">
        <x:v>627</x:v>
      </x:c>
      <x:c r="G7" s="15" t="s">
        <x:v>628</x:v>
      </x:c>
      <x:c r="H7" s="15" t="s">
        <x:v>629</x:v>
      </x:c>
      <x:c r="I7" s="15" t="s">
        <x:v>630</x:v>
      </x:c>
      <x:c r="J7" s="15" t="s">
        <x:v>631</x:v>
      </x:c>
      <x:c r="K7" s="15" t="s">
        <x:v>622</x:v>
      </x:c>
      <x:c r="L7" s="22"/>
      <x:c r="M7" s="22"/>
      <x:c r="N7" s="15" t="s">
        <x:v>632</x:v>
      </x:c>
    </x:row>
    <x:row r="8" ht="34.5" customHeight="1">
      <x:c r="A8" s="16">
        <x:v>3</x:v>
      </x:c>
      <x:c r="B8" s="16" t="s">
        <x:v>613</x:v>
      </x:c>
      <x:c r="C8" s="15" t="s">
        <x:v>633</x:v>
      </x:c>
      <x:c r="D8" s="15" t="s">
        <x:v>634</x:v>
      </x:c>
      <x:c r="E8" s="15" t="s">
        <x:v>616</x:v>
      </x:c>
      <x:c r="F8" s="15" t="s">
        <x:v>635</x:v>
      </x:c>
      <x:c r="G8" s="15" t="s">
        <x:v>636</x:v>
      </x:c>
      <x:c r="H8" s="15" t="s">
        <x:v>637</x:v>
      </x:c>
      <x:c r="I8" s="15" t="s">
        <x:v>638</x:v>
      </x:c>
      <x:c r="J8" s="15" t="s">
        <x:v>639</x:v>
      </x:c>
      <x:c r="K8" s="15" t="s">
        <x:v>622</x:v>
      </x:c>
      <x:c r="L8" s="22"/>
      <x:c r="M8" s="22"/>
      <x:c r="N8" s="15" t="s">
        <x:v>640</x:v>
      </x:c>
    </x:row>
    <x:row r="9" ht="34.5" customHeight="1">
      <x:c r="A9" s="16">
        <x:v>4</x:v>
      </x:c>
      <x:c r="B9" s="16" t="s">
        <x:v>613</x:v>
      </x:c>
      <x:c r="C9" s="15" t="s">
        <x:v>641</x:v>
      </x:c>
      <x:c r="D9" s="15" t="s">
        <x:v>642</x:v>
      </x:c>
      <x:c r="E9" s="15" t="s">
        <x:v>626</x:v>
      </x:c>
      <x:c r="F9" s="15" t="s">
        <x:v>643</x:v>
      </x:c>
      <x:c r="G9" s="15" t="s">
        <x:v>644</x:v>
      </x:c>
      <x:c r="H9" s="15" t="s">
        <x:v>645</x:v>
      </x:c>
      <x:c r="I9" s="15" t="s">
        <x:v>646</x:v>
      </x:c>
      <x:c r="J9" s="15" t="s">
        <x:v>647</x:v>
      </x:c>
      <x:c r="K9" s="15" t="s">
        <x:v>622</x:v>
      </x:c>
      <x:c r="L9" s="22"/>
      <x:c r="M9" s="22"/>
      <x:c r="N9" s="15" t="s">
        <x:v>648</x:v>
      </x:c>
    </x:row>
    <x:row r="10" ht="34.5" customHeight="1">
      <x:c r="A10" s="16">
        <x:v>5</x:v>
      </x:c>
      <x:c r="B10" s="16" t="s">
        <x:v>613</x:v>
      </x:c>
      <x:c r="C10" s="15" t="s">
        <x:v>649</x:v>
      </x:c>
      <x:c r="D10" s="15" t="s">
        <x:v>650</x:v>
      </x:c>
      <x:c r="E10" s="15" t="s">
        <x:v>651</x:v>
      </x:c>
      <x:c r="F10" s="15" t="s">
        <x:v>652</x:v>
      </x:c>
      <x:c r="G10" s="15" t="s">
        <x:v>653</x:v>
      </x:c>
      <x:c r="H10" s="15" t="s">
        <x:v>654</x:v>
      </x:c>
      <x:c r="I10" s="15" t="s">
        <x:v>655</x:v>
      </x:c>
      <x:c r="J10" s="15" t="s">
        <x:v>656</x:v>
      </x:c>
      <x:c r="K10" s="15" t="s">
        <x:v>622</x:v>
      </x:c>
      <x:c r="L10" s="22"/>
      <x:c r="M10" s="22"/>
      <x:c r="N10" s="15" t="s">
        <x:v>657</x:v>
      </x:c>
    </x:row>
    <x:row r="11" ht="34.5" customHeight="1">
      <x:c r="A11" s="16">
        <x:v>6</x:v>
      </x:c>
      <x:c r="B11" s="16" t="s">
        <x:v>613</x:v>
      </x:c>
      <x:c r="C11" s="15" t="s">
        <x:v>649</x:v>
      </x:c>
      <x:c r="D11" s="15" t="s">
        <x:v>658</x:v>
      </x:c>
      <x:c r="E11" s="15" t="s">
        <x:v>659</x:v>
      </x:c>
      <x:c r="F11" s="15" t="s">
        <x:v>660</x:v>
      </x:c>
      <x:c r="G11" s="15" t="s">
        <x:v>661</x:v>
      </x:c>
      <x:c r="H11" s="15" t="s">
        <x:v>662</x:v>
      </x:c>
      <x:c r="I11" s="15"/>
      <x:c r="J11" s="15" t="s">
        <x:v>663</x:v>
      </x:c>
      <x:c r="K11" s="15" t="s">
        <x:v>622</x:v>
      </x:c>
      <x:c r="L11" s="22"/>
      <x:c r="M11" s="22"/>
      <x:c r="N11" s="15" t="s">
        <x:v>664</x:v>
      </x:c>
    </x:row>
    <x:row r="12" ht="34.5" customHeight="1">
      <x:c r="A12" s="17">
        <x:v>7</x:v>
      </x:c>
      <x:c r="B12" s="17" t="s">
        <x:v>665</x:v>
      </x:c>
      <x:c r="C12" s="15" t="s">
        <x:v>666</x:v>
      </x:c>
      <x:c r="D12" s="15" t="s">
        <x:v>667</x:v>
      </x:c>
      <x:c r="E12" s="15" t="s">
        <x:v>668</x:v>
      </x:c>
      <x:c r="F12" s="15" t="s">
        <x:v>669</x:v>
      </x:c>
      <x:c r="G12" s="15" t="s">
        <x:v>670</x:v>
      </x:c>
      <x:c r="H12" s="15" t="s">
        <x:v>671</x:v>
      </x:c>
      <x:c r="I12" s="15" t="s">
        <x:v>672</x:v>
      </x:c>
      <x:c r="J12" s="15" t="s">
        <x:v>673</x:v>
      </x:c>
      <x:c r="K12" s="15" t="s">
        <x:v>622</x:v>
      </x:c>
      <x:c r="L12" s="22"/>
      <x:c r="M12" s="22"/>
      <x:c r="N12" s="15" t="s">
        <x:v>674</x:v>
      </x:c>
    </x:row>
    <x:row r="13" ht="34.5" customHeight="1">
      <x:c r="A13" s="17">
        <x:v>8</x:v>
      </x:c>
      <x:c r="B13" s="17" t="s">
        <x:v>665</x:v>
      </x:c>
      <x:c r="C13" s="15" t="s">
        <x:v>675</x:v>
      </x:c>
      <x:c r="D13" s="15" t="s">
        <x:v>676</x:v>
      </x:c>
      <x:c r="E13" s="15" t="s">
        <x:v>668</x:v>
      </x:c>
      <x:c r="F13" s="15" t="s">
        <x:v>669</x:v>
      </x:c>
      <x:c r="G13" s="15" t="s">
        <x:v>677</x:v>
      </x:c>
      <x:c r="H13" s="15" t="s">
        <x:v>678</x:v>
      </x:c>
      <x:c r="I13" s="15" t="s">
        <x:v>679</x:v>
      </x:c>
      <x:c r="J13" s="15" t="s">
        <x:v>680</x:v>
      </x:c>
      <x:c r="K13" s="15" t="s">
        <x:v>622</x:v>
      </x:c>
      <x:c r="L13" s="22"/>
      <x:c r="M13" s="22"/>
      <x:c r="N13" s="15" t="s">
        <x:v>681</x:v>
      </x:c>
    </x:row>
    <x:row r="14" ht="34.5" customHeight="1">
      <x:c r="A14" s="17">
        <x:v>9</x:v>
      </x:c>
      <x:c r="B14" s="17" t="s">
        <x:v>665</x:v>
      </x:c>
      <x:c r="C14" s="15" t="s">
        <x:v>682</x:v>
      </x:c>
      <x:c r="D14" s="15" t="s">
        <x:v>683</x:v>
      </x:c>
      <x:c r="E14" s="15" t="s">
        <x:v>668</x:v>
      </x:c>
      <x:c r="F14" s="15" t="s">
        <x:v>669</x:v>
      </x:c>
      <x:c r="G14" s="15" t="s">
        <x:v>684</x:v>
      </x:c>
      <x:c r="H14" s="15" t="s">
        <x:v>685</x:v>
      </x:c>
      <x:c r="I14" s="15" t="s">
        <x:v>686</x:v>
      </x:c>
      <x:c r="J14" s="15" t="s">
        <x:v>687</x:v>
      </x:c>
      <x:c r="K14" s="15" t="s">
        <x:v>622</x:v>
      </x:c>
      <x:c r="L14" s="22"/>
      <x:c r="M14" s="22"/>
      <x:c r="N14" s="15" t="s">
        <x:v>688</x:v>
      </x:c>
    </x:row>
    <x:row r="15" ht="34.5" customHeight="1">
      <x:c r="A15" s="17">
        <x:v>10</x:v>
      </x:c>
      <x:c r="B15" s="17" t="s">
        <x:v>665</x:v>
      </x:c>
      <x:c r="C15" s="15" t="s">
        <x:v>689</x:v>
      </x:c>
      <x:c r="D15" s="15" t="s">
        <x:v>690</x:v>
      </x:c>
      <x:c r="E15" s="15" t="s">
        <x:v>691</x:v>
      </x:c>
      <x:c r="F15" s="15" t="s">
        <x:v>692</x:v>
      </x:c>
      <x:c r="G15" s="15" t="s">
        <x:v>693</x:v>
      </x:c>
      <x:c r="H15" s="15" t="s">
        <x:v>694</x:v>
      </x:c>
      <x:c r="I15" s="15" t="s">
        <x:v>695</x:v>
      </x:c>
      <x:c r="J15" s="15" t="s">
        <x:v>696</x:v>
      </x:c>
      <x:c r="K15" s="15" t="s">
        <x:v>622</x:v>
      </x:c>
      <x:c r="L15" s="22"/>
      <x:c r="M15" s="22"/>
      <x:c r="N15" s="15" t="s">
        <x:v>697</x:v>
      </x:c>
    </x:row>
    <x:row r="16" ht="34.5" customHeight="1">
      <x:c r="A16" s="18">
        <x:v>11</x:v>
      </x:c>
      <x:c r="B16" s="18" t="s">
        <x:v>698</x:v>
      </x:c>
      <x:c r="C16" s="15" t="s">
        <x:v>699</x:v>
      </x:c>
      <x:c r="D16" s="15" t="s">
        <x:v>700</x:v>
      </x:c>
      <x:c r="E16" s="15" t="s">
        <x:v>701</x:v>
      </x:c>
      <x:c r="F16" s="15" t="s">
        <x:v>702</x:v>
      </x:c>
      <x:c r="G16" s="15" t="s">
        <x:v>703</x:v>
      </x:c>
      <x:c r="H16" s="15" t="s">
        <x:v>704</x:v>
      </x:c>
      <x:c r="I16" s="15" t="s">
        <x:v>705</x:v>
      </x:c>
      <x:c r="J16" s="15" t="s">
        <x:v>706</x:v>
      </x:c>
      <x:c r="K16" s="15" t="s">
        <x:v>622</x:v>
      </x:c>
      <x:c r="L16" s="22"/>
      <x:c r="M16" s="22"/>
      <x:c r="N16" s="15" t="s">
        <x:v>707</x:v>
      </x:c>
    </x:row>
    <x:row r="17" ht="34.5" customHeight="1">
      <x:c r="A17" s="18">
        <x:v>12</x:v>
      </x:c>
      <x:c r="B17" s="18" t="s">
        <x:v>698</x:v>
      </x:c>
      <x:c r="C17" s="15" t="s">
        <x:v>649</x:v>
      </x:c>
      <x:c r="D17" s="15" t="s">
        <x:v>708</x:v>
      </x:c>
      <x:c r="E17" s="15" t="s">
        <x:v>709</x:v>
      </x:c>
      <x:c r="F17" s="15" t="s">
        <x:v>710</x:v>
      </x:c>
      <x:c r="G17" s="15" t="s">
        <x:v>711</x:v>
      </x:c>
      <x:c r="H17" s="15" t="s">
        <x:v>712</x:v>
      </x:c>
      <x:c r="I17" s="15" t="s">
        <x:v>713</x:v>
      </x:c>
      <x:c r="J17" s="15" t="s">
        <x:v>714</x:v>
      </x:c>
      <x:c r="K17" s="15" t="s">
        <x:v>622</x:v>
      </x:c>
      <x:c r="L17" s="22"/>
      <x:c r="M17" s="22"/>
      <x:c r="N17" s="15" t="s">
        <x:v>715</x:v>
      </x:c>
    </x:row>
    <x:row r="18" ht="34.5" customHeight="1">
      <x:c r="A18" s="18">
        <x:v>13</x:v>
      </x:c>
      <x:c r="B18" s="18" t="s">
        <x:v>698</x:v>
      </x:c>
      <x:c r="C18" s="15" t="s">
        <x:v>699</x:v>
      </x:c>
      <x:c r="D18" s="15" t="s">
        <x:v>716</x:v>
      </x:c>
      <x:c r="E18" s="15" t="s">
        <x:v>717</x:v>
      </x:c>
      <x:c r="F18" s="15" t="s">
        <x:v>652</x:v>
      </x:c>
      <x:c r="G18" s="15" t="s">
        <x:v>718</x:v>
      </x:c>
      <x:c r="H18" s="15" t="s">
        <x:v>719</x:v>
      </x:c>
      <x:c r="I18" s="15" t="s">
        <x:v>720</x:v>
      </x:c>
      <x:c r="J18" s="15" t="s">
        <x:v>721</x:v>
      </x:c>
      <x:c r="K18" s="15" t="s">
        <x:v>622</x:v>
      </x:c>
      <x:c r="L18" s="22"/>
      <x:c r="M18" s="22"/>
      <x:c r="N18" s="15" t="s">
        <x:v>722</x:v>
      </x:c>
    </x:row>
    <x:row r="19">
      <x:c r="A19" t="n">
        <x:v>14</x:v>
      </x:c>
      <x:c r="B19" t="str">
        <x:v>Tier 2 - Secondary</x:v>
      </x:c>
      <x:c r="C19" t="str">
        <x:v>Chile</x:v>
      </x:c>
      <x:c r="D19" t="str">
        <x:v>Universidad Adventista de Chile — CINC</x:v>
      </x:c>
      <x:c r="E19" t="str">
        <x:v>DDIL / Environmental Degradation</x:v>
      </x:c>
      <x:c r="F19" t="str">
        <x:v>Ionospheric disturbance timing; Southern Hemisphere / Antarctic scenario inputs</x:v>
      </x:c>
      <x:c r="G19" t="str">
        <x:v>Universidad Adventista de Chile, Chillán, CHILE</x:v>
      </x:c>
      <x:c r="H19" t="str">
        <x:v>Dr. Manuel Alejandro Bravo Sepúlveda — Director, Centro de Instrumentación Científica</x:v>
      </x:c>
      <x:c r="I19" t="str">
        <x:v>manuelbravo@unach.cl</x:v>
      </x:c>
      <x:c r="J19" t="str">
        <x:v>http://www.meteorologiaespacial.cl/</x:v>
      </x:c>
      <x:c r="K19" t="str">
        <x:v>Responded — numerical .DAT packages delivered and inspected; Readiness 3</x:v>
      </x:c>
      <x:c r="L19" s="23"/>
      <x:c r="M19" s="23" t="n">
        <x:v>46286</x:v>
      </x:c>
      <x:c r="N19" t="str">
        <x:v>Ionospheric record dating to 1957; Concepción→Chillán plus La Serena and King George Island. On 21 Sep Bravo delivered actual scaled .DAT samples. KGI: 1,232 daily files (1986–1991), 33,960 observations, typically hourly; foF/hF/M(3000)F strong. Chillán: 25 daily files (4–31 Dec 2020), 2,518 observations, typically 15-minute cadence; populated foF/hF/hmF2/TEC. Preserve station/instrument/cadence and qualifier fields. Environmental input only; not direct network performance.</x:v>
      </x:c>
    </x:row>
    <x:row r="20" ht="15.300000190734863" customHeight="1">
      <x:c r="A20" s="48" t="n">
        <x:v>15</x:v>
      </x:c>
      <x:c r="B20" s="48" t="str">
        <x:v>Tier 2 - Secondary</x:v>
      </x:c>
      <x:c r="C20" s="48" t="str">
        <x:v>Argentina / Patagonia</x:v>
      </x:c>
      <x:c r="D20" s="48" t="str">
        <x:v>Instituto Balseiro / CNEA — Dr. Pablo Costanzo Caso</x:v>
      </x:c>
      <x:c r="E20" s="48" t="str">
        <x:v>Downlink Bottlenecks &amp; DDIL / Ground-Station Communications</x:v>
      </x:c>
      <x:c r="F20" s="48" t="str">
        <x:v>Southern Hemisphere geographic diversity; contact-window/interruption/recovery measurements</x:v>
      </x:c>
      <x:c r="G20" s="48" t="str">
        <x:v>Bariloche, Río Negro, ARGENTINA</x:v>
      </x:c>
      <x:c r="H20" s="48" t="str">
        <x:v>Dr. Pablo Costanzo Caso</x:v>
      </x:c>
      <x:c r="I20" s="48" t="str">
        <x:v>pcostanzo@ib.edu.ar</x:v>
      </x:c>
      <x:c r="J20" s="48"/>
      <x:c r="K20" s="48" t="str">
        <x:v>Responded 22 Sep 2026 — requested data unavailable; future funded collaboration offered</x:v>
      </x:c>
      <x:c r="L20" s="49"/>
      <x:c r="M20" s="49" t="str">
        <x:v>2026-09-22</x:v>
      </x:c>
      <x:c r="N20" s="48" t="str">
        <x:v>Historical VHF/UHF ground station operated for more than 3 years but was dismantled due lack of funding. No current data package or archive supplied. Costanzo is interested in a funded collaboration to collect new measurements from Patagonia and asks which variables should be measured. Treat as collaboration lead only; no current empirical data-fit claim.</x:v>
      </x:c>
    </x:row>
    <x:row r="21" ht="15.300000190734863" customHeight="1">
      <x:c r="A21" s="48" t="s">
        <x:v>723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9"/>
      <x:c r="M21" s="49"/>
      <x:c r="N21" s="48"/>
    </x:row>
    <x:row r="22">
      <x:c r="A22" t="n">
        <x:v>16</x:v>
      </x:c>
      <x:c r="B22" t="str">
        <x:v>Tier 2 - Secondary</x:v>
      </x:c>
      <x:c r="C22" t="str">
        <x:v>Australia</x:v>
      </x:c>
      <x:c r="D22" t="str">
        <x:v>Australian Competition and Consumer Commission — Measuring Broadband Australia</x:v>
      </x:c>
      <x:c r="E22" t="str">
        <x:v>Downlink Bottlenecks &amp; DDIL / Direct Network Performance</x:v>
      </x:c>
      <x:c r="F22" t="str">
        <x:v>Decision / Kill-Chain Latency; outage/interruption characterization; Southern Hemisphere validation</x:v>
      </x:c>
      <x:c r="G22" t="str">
        <x:v>Australian Competition and Consumer Commission, AUSTRALIA</x:v>
      </x:c>
      <x:c r="H22" t="str">
        <x:v>Broadband Performance Team</x:v>
      </x:c>
      <x:c r="I22" t="str">
        <x:v>BroadbandPerformance@accc.gov.au</x:v>
      </x:c>
      <x:c r="J22" t="str">
        <x:v>https://data.gov.au/</x:v>
      </x:c>
      <x:c r="K22" t="str">
        <x:v>Responded 23 Sep 2026 — public historical data confirmed; no special research-use conditions beyond attribution</x:v>
      </x:c>
      <x:c r="L22" s="23" t="str">
        <x:v>2026-09-23</x:v>
      </x:c>
      <x:c r="M22" s="23" t="str">
        <x:v>2026-09-23</x:v>
      </x:c>
      <x:c r="N22" t="str">
        <x:v>ACCC confirms more fulsome MBA performance data are publicly released on data.gov.au in addition to aggregate report tables. Search 'Measuring Broadband Australia'. Program ended June 2026, so use as finite/static historical COMM evidence. Inspect a Starlink-containing release before assigning Readiness 3 or using fields in the DES.</x:v>
      </x:c>
    </x:row>
    <x:row r="23">
      <x:c r="L23" s="23"/>
      <x:c r="M23" s="23"/>
    </x:row>
    <x:row r="24">
      <x:c r="L24" s="23"/>
      <x:c r="M24" s="23"/>
    </x:row>
    <x:row r="25">
      <x:c r="L25" s="23"/>
      <x:c r="M25" s="23"/>
    </x:row>
    <x:row r="26">
      <x:c r="L26" s="23"/>
      <x:c r="M26" s="23"/>
    </x:row>
    <x:row r="27">
      <x:c r="L27" s="23"/>
      <x:c r="M27" s="23"/>
    </x:row>
    <x:row r="28">
      <x:c r="L28" s="23"/>
      <x:c r="M28" s="23"/>
    </x:row>
    <x:row r="29">
      <x:c r="L29" s="23"/>
      <x:c r="M29" s="23"/>
    </x:row>
    <x:row r="30">
      <x:c r="L30" s="23"/>
      <x:c r="M30" s="23"/>
    </x:row>
    <x:row r="31">
      <x:c r="L31" s="23"/>
      <x:c r="M31" s="23"/>
    </x:row>
    <x:row r="32">
      <x:c r="L32" s="23"/>
      <x:c r="M32" s="23"/>
    </x:row>
    <x:row r="33">
      <x:c r="L33" s="23"/>
      <x:c r="M33" s="23"/>
    </x:row>
    <x:row r="34">
      <x:c r="L34" s="23"/>
      <x:c r="M34" s="23"/>
    </x:row>
    <x:row r="35">
      <x:c r="L35" s="23"/>
      <x:c r="M35" s="23"/>
    </x:row>
    <x:row r="36">
      <x:c r="L36" s="23"/>
      <x:c r="M36" s="23"/>
    </x:row>
    <x:row r="37">
      <x:c r="L37" s="23"/>
      <x:c r="M37" s="23"/>
    </x:row>
    <x:row r="38">
      <x:c r="L38" s="23"/>
      <x:c r="M38" s="23"/>
    </x:row>
    <x:row r="39">
      <x:c r="L39" s="23"/>
      <x:c r="M39" s="23"/>
    </x:row>
    <x:row r="40">
      <x:c r="L40" s="23"/>
      <x:c r="M40" s="23"/>
    </x:row>
    <x:row r="41">
      <x:c r="L41" s="23"/>
      <x:c r="M41" s="23"/>
    </x:row>
    <x:row r="42">
      <x:c r="L42" s="23"/>
      <x:c r="M42" s="23"/>
    </x:row>
    <x:row r="43">
      <x:c r="L43" s="23"/>
      <x:c r="M43" s="23"/>
    </x:row>
    <x:row r="44">
      <x:c r="L44" s="23"/>
      <x:c r="M44" s="23"/>
    </x:row>
    <x:row r="45">
      <x:c r="L45" s="23"/>
      <x:c r="M45" s="23"/>
    </x:row>
    <x:row r="46">
      <x:c r="L46" s="23"/>
      <x:c r="M46" s="23"/>
    </x:row>
    <x:row r="47">
      <x:c r="L47" s="23"/>
      <x:c r="M47" s="23"/>
    </x:row>
    <x:row r="48">
      <x:c r="L48" s="23"/>
      <x:c r="M48" s="23"/>
    </x:row>
    <x:row r="49">
      <x:c r="L49" s="23"/>
      <x:c r="M49" s="23"/>
    </x:row>
    <x:row r="50">
      <x:c r="L50" s="23"/>
      <x:c r="M50" s="23"/>
    </x:row>
    <x:row r="51">
      <x:c r="L51" s="23"/>
      <x:c r="M51" s="23"/>
    </x:row>
    <x:row r="52">
      <x:c r="L52" s="23"/>
      <x:c r="M52" s="23"/>
    </x:row>
    <x:row r="53">
      <x:c r="L53" s="23"/>
      <x:c r="M53" s="23"/>
    </x:row>
    <x:row r="54">
      <x:c r="L54" s="23"/>
      <x:c r="M54" s="23"/>
    </x:row>
    <x:row r="55">
      <x:c r="L55" s="23"/>
      <x:c r="M55" s="23"/>
    </x:row>
    <x:row r="56">
      <x:c r="L56" s="23"/>
      <x:c r="M56" s="23"/>
    </x:row>
    <x:row r="57">
      <x:c r="L57" s="23"/>
      <x:c r="M57" s="23"/>
    </x:row>
    <x:row r="58">
      <x:c r="L58" s="23"/>
      <x:c r="M58" s="23"/>
    </x:row>
    <x:row r="59">
      <x:c r="L59" s="23"/>
      <x:c r="M59" s="23"/>
    </x:row>
    <x:row r="60">
      <x:c r="L60" s="23"/>
      <x:c r="M60" s="23"/>
    </x:row>
    <x:row r="61">
      <x:c r="L61" s="23"/>
      <x:c r="M61" s="23"/>
    </x:row>
    <x:row r="62">
      <x:c r="L62" s="23"/>
      <x:c r="M62" s="23"/>
    </x:row>
    <x:row r="63">
      <x:c r="L63" s="23"/>
      <x:c r="M63" s="23"/>
    </x:row>
    <x:row r="64">
      <x:c r="L64" s="23"/>
      <x:c r="M64" s="23"/>
    </x:row>
    <x:row r="65">
      <x:c r="L65" s="23"/>
      <x:c r="M65" s="23"/>
    </x:row>
    <x:row r="66">
      <x:c r="L66" s="23"/>
      <x:c r="M66" s="23"/>
    </x:row>
    <x:row r="67">
      <x:c r="L67" s="23"/>
      <x:c r="M67" s="23"/>
    </x:row>
    <x:row r="68">
      <x:c r="L68" s="23"/>
      <x:c r="M68" s="23"/>
    </x:row>
    <x:row r="69">
      <x:c r="L69" s="23"/>
      <x:c r="M69" s="23"/>
    </x:row>
    <x:row r="70">
      <x:c r="L70" s="23"/>
      <x:c r="M70" s="23"/>
    </x:row>
    <x:row r="71">
      <x:c r="L71" s="23"/>
      <x:c r="M71" s="23"/>
    </x:row>
    <x:row r="72">
      <x:c r="L72" s="23"/>
      <x:c r="M72" s="23"/>
    </x:row>
    <x:row r="73">
      <x:c r="L73" s="23"/>
      <x:c r="M73" s="23"/>
    </x:row>
    <x:row r="74">
      <x:c r="L74" s="23"/>
      <x:c r="M74" s="23"/>
    </x:row>
    <x:row r="75">
      <x:c r="L75" s="23"/>
      <x:c r="M75" s="23"/>
    </x:row>
    <x:row r="76">
      <x:c r="L76" s="23"/>
      <x:c r="M76" s="23"/>
    </x:row>
    <x:row r="77">
      <x:c r="L77" s="23"/>
      <x:c r="M77" s="23"/>
    </x:row>
    <x:row r="78">
      <x:c r="L78" s="23"/>
      <x:c r="M78" s="23"/>
    </x:row>
    <x:row r="79">
      <x:c r="L79" s="23"/>
      <x:c r="M79" s="23"/>
    </x:row>
    <x:row r="80">
      <x:c r="L80" s="23"/>
      <x:c r="M80" s="23"/>
    </x:row>
    <x:row r="81">
      <x:c r="L81" s="23"/>
      <x:c r="M81" s="23"/>
    </x:row>
    <x:row r="82">
      <x:c r="L82" s="23"/>
      <x:c r="M82" s="23"/>
    </x:row>
    <x:row r="83">
      <x:c r="L83" s="23"/>
      <x:c r="M83" s="23"/>
    </x:row>
    <x:row r="84">
      <x:c r="L84" s="23"/>
      <x:c r="M84" s="23"/>
    </x:row>
    <x:row r="85">
      <x:c r="L85" s="23"/>
      <x:c r="M85" s="23"/>
    </x:row>
    <x:row r="86">
      <x:c r="L86" s="23"/>
      <x:c r="M86" s="23"/>
    </x:row>
    <x:row r="87">
      <x:c r="L87" s="23"/>
      <x:c r="M87" s="23"/>
    </x:row>
    <x:row r="88">
      <x:c r="L88" s="23"/>
      <x:c r="M88" s="23"/>
    </x:row>
    <x:row r="89">
      <x:c r="L89" s="23"/>
      <x:c r="M89" s="23"/>
    </x:row>
    <x:row r="90">
      <x:c r="L90" s="23"/>
      <x:c r="M90" s="23"/>
    </x:row>
    <x:row r="91">
      <x:c r="L91" s="23"/>
      <x:c r="M91" s="23"/>
    </x:row>
    <x:row r="92">
      <x:c r="L92" s="23"/>
      <x:c r="M92" s="23"/>
    </x:row>
    <x:row r="93">
      <x:c r="L93" s="23"/>
      <x:c r="M93" s="23"/>
    </x:row>
    <x:row r="94">
      <x:c r="L94" s="23"/>
      <x:c r="M94" s="23"/>
    </x:row>
    <x:row r="95">
      <x:c r="L95" s="23"/>
      <x:c r="M95" s="23"/>
    </x:row>
    <x:row r="96">
      <x:c r="L96" s="23"/>
      <x:c r="M96" s="23"/>
    </x:row>
    <x:row r="97">
      <x:c r="L97" s="23"/>
      <x:c r="M97" s="23"/>
    </x:row>
    <x:row r="98">
      <x:c r="L98" s="23"/>
      <x:c r="M98" s="23"/>
    </x:row>
    <x:row r="99">
      <x:c r="L99" s="23"/>
      <x:c r="M99" s="23"/>
    </x:row>
    <x:row r="100">
      <x:c r="L100" s="23"/>
      <x:c r="M100" s="23"/>
    </x:row>
  </x:sheetData>
  <x:mergeCells>
    <x:mergeCell ref="A1:N1"/>
    <x:mergeCell ref="A2:N2"/>
    <x:mergeCell ref="A3:N3"/>
    <x:mergeCell ref="A20:N21"/>
  </x:mergeCells>
  <x:conditionalFormatting sqref="K6:K100">
    <x:cfRule type="expression" dxfId="28" priority="1">
      <x:formula>K6="Sent"</x:formula>
    </x:cfRule>
    <x:cfRule type="expression" dxfId="27" priority="2">
      <x:formula>K6="Acknowledged"</x:formula>
    </x:cfRule>
    <x:cfRule type="expression" dxfId="26" priority="3">
      <x:formula>K6="In Discussion"</x:formula>
    </x:cfRule>
    <x:cfRule type="expression" dxfId="25" priority="4">
      <x:formula>K6="Data Approved"</x:formula>
    </x:cfRule>
    <x:cfRule type="expression" dxfId="24" priority="5">
      <x:formula>K6="Data Received"</x:formula>
    </x:cfRule>
  </x:conditionalFormatting>
  <x:dataValidations count="1">
    <x:dataValidation type="list" sqref="K6:K100">
      <x:formula1>"Not Contacted,Prepared,Sent,Acknowledged,In Discussion,Data Approved,Data Received,Closed"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b57a93f149485e"/>
  </x:tableParts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30" customWidth="1"/>
    <x:col min="2" max="2" width="32" customWidth="1"/>
    <x:col min="3" max="3" width="52" customWidth="1"/>
    <x:col min="4" max="4" width="38" customWidth="1"/>
    <x:col min="5" max="6" width="46" customWidth="1"/>
  </x:cols>
  <x:sheetData>
    <x:row r="1" ht="17.850000381469727" customHeight="1">
      <x:c r="A1" s="45" t="s">
        <x:v>724</x:v>
      </x:c>
      <x:c r="B1" s="45"/>
      <x:c r="C1" s="45"/>
      <x:c r="D1" s="45"/>
      <x:c r="E1" s="45"/>
      <x:c r="F1" s="45"/>
    </x:row>
    <x:row r="2" ht="15.300000190734863" customHeight="1">
      <x:c r="A2" s="46" t="s">
        <x:v>725</x:v>
      </x:c>
      <x:c r="B2" s="46"/>
      <x:c r="C2" s="46"/>
      <x:c r="D2" s="46"/>
      <x:c r="E2" s="46"/>
      <x:c r="F2" s="46"/>
    </x:row>
    <x:row r="4" ht="22.950000762939453" customHeight="1">
      <x:c r="A4" s="14" t="s">
        <x:v>726</x:v>
      </x:c>
      <x:c r="B4" s="14" t="s">
        <x:v>727</x:v>
      </x:c>
      <x:c r="C4" s="14" t="s">
        <x:v>728</x:v>
      </x:c>
      <x:c r="D4" s="14" t="s">
        <x:v>729</x:v>
      </x:c>
      <x:c r="E4" s="14" t="s">
        <x:v>730</x:v>
      </x:c>
      <x:c r="F4" s="14" t="s">
        <x:v>731</x:v>
      </x:c>
    </x:row>
    <x:row r="5" ht="44.70000076293945" customHeight="1">
      <x:c r="A5" s="24" t="s">
        <x:v>732</x:v>
      </x:c>
      <x:c r="B5" s="15" t="s">
        <x:v>733</x:v>
      </x:c>
      <x:c r="C5" s="15" t="s">
        <x:v>734</x:v>
      </x:c>
      <x:c r="D5" s="15" t="s">
        <x:v>735</x:v>
      </x:c>
      <x:c r="E5" s="15" t="str">
        <x:v>Measurement Lab NDT / BigQuery (global, ASN-filterable)</x:v>
      </x:c>
      <x:c r="F5" s="15" t="s">
        <x:v>736</x:v>
      </x:c>
    </x:row>
    <x:row r="6" ht="44.70000076293945" customHeight="1">
      <x:c r="A6" s="25" t="s">
        <x:v>737</x:v>
      </x:c>
      <x:c r="B6" s="15" t="s">
        <x:v>738</x:v>
      </x:c>
      <x:c r="C6" s="15" t="s">
        <x:v>739</x:v>
      </x:c>
      <x:c r="D6" s="15" t="s">
        <x:v>735</x:v>
      </x:c>
      <x:c r="E6" s="15" t="str">
        <x:v>NICT; Otago MANA; Earth Sciences NZ; Australia; MOSWOC; SANSA; ESA SWE; EUMETSAT; Measurement Lab NDT (throughput/latency support; outage inference only)</x:v>
      </x:c>
      <x:c r="F6" s="15" t="s">
        <x:v>740</x:v>
      </x:c>
    </x:row>
    <x:row r="7" ht="44.70000076293945" customHeight="1">
      <x:c r="A7" s="19" t="s">
        <x:v>741</x:v>
      </x:c>
      <x:c r="B7" s="15" t="s">
        <x:v>742</x:v>
      </x:c>
      <x:c r="C7" s="15" t="s">
        <x:v>743</x:v>
      </x:c>
      <x:c r="D7" s="15" t="s">
        <x:v>744</x:v>
      </x:c>
      <x:c r="E7" s="15" t="s">
        <x:v>745</x:v>
      </x:c>
      <x:c r="F7" s="15" t="s">
        <x:v>746</x:v>
      </x:c>
    </x:row>
    <x:row r="8" ht="44.70000076293945" customHeight="1">
      <x:c r="A8" s="26" t="s">
        <x:v>747</x:v>
      </x:c>
      <x:c r="B8" s="15" t="s">
        <x:v>748</x:v>
      </x:c>
      <x:c r="C8" s="15" t="s">
        <x:v>749</x:v>
      </x:c>
      <x:c r="D8" s="15" t="s">
        <x:v>750</x:v>
      </x:c>
      <x:c r="E8" s="15" t="s">
        <x:v>751</x:v>
      </x:c>
      <x:c r="F8" s="15" t="s">
        <x:v>752</x:v>
      </x:c>
    </x:row>
    <x:row r="9" ht="44.70000076293945" customHeight="1">
      <x:c r="A9" s="27" t="s">
        <x:v>753</x:v>
      </x:c>
      <x:c r="B9" s="15" t="s">
        <x:v>754</x:v>
      </x:c>
      <x:c r="C9" s="15" t="s">
        <x:v>755</x:v>
      </x:c>
      <x:c r="D9" s="15" t="s">
        <x:v>756</x:v>
      </x:c>
      <x:c r="E9" s="15" t="s">
        <x:v>757</x:v>
      </x:c>
      <x:c r="F9" s="15" t="s">
        <x:v>758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1e1e4a087254f2a"/>
  </x:tableParts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40" customWidth="1"/>
    <x:col min="2" max="2" width="20" customWidth="1"/>
    <x:col min="3" max="4" width="14" customWidth="1"/>
    <x:col min="5" max="5" width="18" customWidth="1"/>
    <x:col min="6" max="6" width="20" customWidth="1"/>
    <x:col min="7" max="7" width="19" customWidth="1"/>
    <x:col min="9" max="9" width="10" customWidth="1"/>
    <x:col min="10" max="10" width="24" customWidth="1"/>
  </x:cols>
  <x:sheetData>
    <x:row r="1" ht="17.850000381469727" customHeight="1">
      <x:c r="A1" s="45" t="s">
        <x:v>759</x:v>
      </x:c>
      <x:c r="B1" s="45"/>
      <x:c r="C1" s="45"/>
      <x:c r="D1" s="45"/>
      <x:c r="E1" s="45"/>
      <x:c r="F1" s="45"/>
      <x:c r="G1" s="45"/>
    </x:row>
    <x:row r="2" ht="15.300000190734863" customHeight="1">
      <x:c r="A2" s="46" t="s">
        <x:v>760</x:v>
      </x:c>
      <x:c r="B2" s="46"/>
      <x:c r="C2" s="46"/>
      <x:c r="D2" s="46"/>
      <x:c r="E2" s="46"/>
      <x:c r="F2" s="46"/>
      <x:c r="G2" s="46"/>
    </x:row>
    <x:row r="4" ht="26.850000381469727" customHeight="1">
      <x:c r="A4" s="14" t="s">
        <x:v>761</x:v>
      </x:c>
      <x:c r="B4" s="14" t="s">
        <x:v>601</x:v>
      </x:c>
      <x:c r="C4" s="14" t="s">
        <x:v>762</x:v>
      </x:c>
      <x:c r="D4" s="14" t="s">
        <x:v>763</x:v>
      </x:c>
      <x:c r="E4" s="14" t="s">
        <x:v>764</x:v>
      </x:c>
      <x:c r="F4" s="14" t="s">
        <x:v>765</x:v>
      </x:c>
      <x:c r="G4" s="14" t="s">
        <x:v>766</x:v>
      </x:c>
      <x:c r="I4" s="13" t="s">
        <x:v>767</x:v>
      </x:c>
      <x:c r="J4" s="13" t="s">
        <x:v>465</x:v>
      </x:c>
    </x:row>
    <x:row r="5" ht="19.200000762939453" customHeight="1">
      <x:c r="A5" s="28" t="s">
        <x:v>768</x:v>
      </x:c>
      <x:c r="B5" s="28" t="s">
        <x:v>614</x:v>
      </x:c>
      <x:c r="C5" s="28">
        <x:v>0</x:v>
      </x:c>
      <x:c r="D5" s="28">
        <x:v>3</x:v>
      </x:c>
      <x:c r="E5" s="28">
        <x:v>2</x:v>
      </x:c>
      <x:c r="F5" s="28">
        <x:v>2</x:v>
      </x:c>
      <x:c r="G5" s="28">
        <x:v>1</x:v>
      </x:c>
      <x:c r="I5" s="29">
        <x:v>3</x:v>
      </x:c>
      <x:c r="J5" s="29" t="s">
        <x:v>769</x:v>
      </x:c>
    </x:row>
    <x:row r="6" ht="19.200000762939453" customHeight="1">
      <x:c r="A6" s="28" t="s">
        <x:v>770</x:v>
      </x:c>
      <x:c r="B6" s="28" t="s">
        <x:v>624</x:v>
      </x:c>
      <x:c r="C6" s="28">
        <x:v>3</x:v>
      </x:c>
      <x:c r="D6" s="28">
        <x:v>3</x:v>
      </x:c>
      <x:c r="E6" s="28">
        <x:v>0</x:v>
      </x:c>
      <x:c r="F6" s="28">
        <x:v>1</x:v>
      </x:c>
      <x:c r="G6" s="28">
        <x:v>0</x:v>
      </x:c>
      <x:c r="I6" s="30">
        <x:v>2</x:v>
      </x:c>
      <x:c r="J6" s="30" t="s">
        <x:v>771</x:v>
      </x:c>
    </x:row>
    <x:row r="7" ht="19.200000762939453" customHeight="1">
      <x:c r="A7" s="28" t="s">
        <x:v>772</x:v>
      </x:c>
      <x:c r="B7" s="28" t="s">
        <x:v>633</x:v>
      </x:c>
      <x:c r="C7" s="28">
        <x:v>3</x:v>
      </x:c>
      <x:c r="D7" s="28">
        <x:v>3</x:v>
      </x:c>
      <x:c r="E7" s="28">
        <x:v>1</x:v>
      </x:c>
      <x:c r="F7" s="28">
        <x:v>1</x:v>
      </x:c>
      <x:c r="G7" s="28">
        <x:v>0</x:v>
      </x:c>
      <x:c r="I7" s="31">
        <x:v>1</x:v>
      </x:c>
      <x:c r="J7" s="31" t="s">
        <x:v>773</x:v>
      </x:c>
    </x:row>
    <x:row r="8" ht="19.200000762939453" customHeight="1">
      <x:c r="A8" s="28" t="s">
        <x:v>642</x:v>
      </x:c>
      <x:c r="B8" s="28" t="s">
        <x:v>641</x:v>
      </x:c>
      <x:c r="C8" s="28">
        <x:v>3</x:v>
      </x:c>
      <x:c r="D8" s="28">
        <x:v>3</x:v>
      </x:c>
      <x:c r="E8" s="28">
        <x:v>0</x:v>
      </x:c>
      <x:c r="F8" s="28">
        <x:v>1</x:v>
      </x:c>
      <x:c r="G8" s="28">
        <x:v>1</x:v>
      </x:c>
      <x:c r="I8" s="32">
        <x:v>0</x:v>
      </x:c>
      <x:c r="J8" s="32" t="s">
        <x:v>774</x:v>
      </x:c>
    </x:row>
    <x:row r="9" ht="19.200000762939453" customHeight="1">
      <x:c r="A9" s="28" t="s">
        <x:v>775</x:v>
      </x:c>
      <x:c r="B9" s="28" t="s">
        <x:v>649</x:v>
      </x:c>
      <x:c r="C9" s="28">
        <x:v>0</x:v>
      </x:c>
      <x:c r="D9" s="28">
        <x:v>2</x:v>
      </x:c>
      <x:c r="E9" s="28">
        <x:v>3</x:v>
      </x:c>
      <x:c r="F9" s="28">
        <x:v>1</x:v>
      </x:c>
      <x:c r="G9" s="28">
        <x:v>0</x:v>
      </x:c>
    </x:row>
    <x:row r="10" ht="19.200000762939453" customHeight="1">
      <x:c r="A10" s="28" t="s">
        <x:v>776</x:v>
      </x:c>
      <x:c r="B10" s="28" t="s">
        <x:v>649</x:v>
      </x:c>
      <x:c r="C10" s="28">
        <x:v>0</x:v>
      </x:c>
      <x:c r="D10" s="28">
        <x:v>2</x:v>
      </x:c>
      <x:c r="E10" s="28">
        <x:v>3</x:v>
      </x:c>
      <x:c r="F10" s="28">
        <x:v>1</x:v>
      </x:c>
      <x:c r="G10" s="28">
        <x:v>0</x:v>
      </x:c>
    </x:row>
    <x:row r="11" ht="19.200000762939453" customHeight="1">
      <x:c r="A11" s="28" t="s">
        <x:v>777</x:v>
      </x:c>
      <x:c r="B11" s="28" t="s">
        <x:v>666</x:v>
      </x:c>
      <x:c r="C11" s="28">
        <x:v>0</x:v>
      </x:c>
      <x:c r="D11" s="28">
        <x:v>3</x:v>
      </x:c>
      <x:c r="E11" s="28">
        <x:v>3</x:v>
      </x:c>
      <x:c r="F11" s="28">
        <x:v>2</x:v>
      </x:c>
      <x:c r="G11" s="28">
        <x:v>1</x:v>
      </x:c>
    </x:row>
    <x:row r="12" ht="19.200000762939453" customHeight="1">
      <x:c r="A12" s="28" t="s">
        <x:v>778</x:v>
      </x:c>
      <x:c r="B12" s="28" t="s">
        <x:v>675</x:v>
      </x:c>
      <x:c r="C12" s="28">
        <x:v>0</x:v>
      </x:c>
      <x:c r="D12" s="28">
        <x:v>3</x:v>
      </x:c>
      <x:c r="E12" s="28">
        <x:v>3</x:v>
      </x:c>
      <x:c r="F12" s="28">
        <x:v>2</x:v>
      </x:c>
      <x:c r="G12" s="28">
        <x:v>1</x:v>
      </x:c>
    </x:row>
    <x:row r="13" ht="19.200000762939453" customHeight="1">
      <x:c r="A13" s="28" t="s">
        <x:v>683</x:v>
      </x:c>
      <x:c r="B13" s="28" t="s">
        <x:v>682</x:v>
      </x:c>
      <x:c r="C13" s="28">
        <x:v>0</x:v>
      </x:c>
      <x:c r="D13" s="28">
        <x:v>3</x:v>
      </x:c>
      <x:c r="E13" s="28">
        <x:v>3</x:v>
      </x:c>
      <x:c r="F13" s="28">
        <x:v>2</x:v>
      </x:c>
      <x:c r="G13" s="28">
        <x:v>1</x:v>
      </x:c>
    </x:row>
    <x:row r="14" ht="19.200000762939453" customHeight="1">
      <x:c r="A14" s="28" t="s">
        <x:v>779</x:v>
      </x:c>
      <x:c r="B14" s="28" t="s">
        <x:v>689</x:v>
      </x:c>
      <x:c r="C14" s="28">
        <x:v>0</x:v>
      </x:c>
      <x:c r="D14" s="28">
        <x:v>3</x:v>
      </x:c>
      <x:c r="E14" s="28">
        <x:v>3</x:v>
      </x:c>
      <x:c r="F14" s="28">
        <x:v>2</x:v>
      </x:c>
      <x:c r="G14" s="28">
        <x:v>1</x:v>
      </x:c>
    </x:row>
    <x:row r="15" ht="19.200000762939453" customHeight="1">
      <x:c r="A15" s="28" t="s">
        <x:v>700</x:v>
      </x:c>
      <x:c r="B15" s="28" t="s">
        <x:v>699</x:v>
      </x:c>
      <x:c r="C15" s="28">
        <x:v>0</x:v>
      </x:c>
      <x:c r="D15" s="28">
        <x:v>1</x:v>
      </x:c>
      <x:c r="E15" s="28">
        <x:v>3</x:v>
      </x:c>
      <x:c r="F15" s="28">
        <x:v>0</x:v>
      </x:c>
      <x:c r="G15" s="28">
        <x:v>0</x:v>
      </x:c>
    </x:row>
    <x:row r="16" ht="19.200000762939453" customHeight="1">
      <x:c r="A16" s="28" t="s">
        <x:v>708</x:v>
      </x:c>
      <x:c r="B16" s="28" t="s">
        <x:v>649</x:v>
      </x:c>
      <x:c r="C16" s="28">
        <x:v>1</x:v>
      </x:c>
      <x:c r="D16" s="28">
        <x:v>1</x:v>
      </x:c>
      <x:c r="E16" s="28">
        <x:v>1</x:v>
      </x:c>
      <x:c r="F16" s="28">
        <x:v>1</x:v>
      </x:c>
      <x:c r="G16" s="28">
        <x:v>1</x:v>
      </x:c>
    </x:row>
    <x:row r="17" ht="19.200000762939453" customHeight="1">
      <x:c r="A17" s="28" t="s">
        <x:v>716</x:v>
      </x:c>
      <x:c r="B17" s="28" t="s">
        <x:v>699</x:v>
      </x:c>
      <x:c r="C17" s="28">
        <x:v>0</x:v>
      </x:c>
      <x:c r="D17" s="28">
        <x:v>0</x:v>
      </x:c>
      <x:c r="E17" s="28">
        <x:v>3</x:v>
      </x:c>
      <x:c r="F17" s="28">
        <x:v>3</x:v>
      </x:c>
      <x:c r="G17" s="28">
        <x:v>0</x:v>
      </x:c>
    </x:row>
  </x:sheetData>
  <x:mergeCells>
    <x:mergeCell ref="A1:G1"/>
    <x:mergeCell ref="A2:G2"/>
  </x:mergeCells>
  <x:conditionalFormatting sqref="C5:C17">
    <x:cfRule type="expression" dxfId="23" priority="5">
      <x:formula>C5=0</x:formula>
    </x:cfRule>
    <x:cfRule type="expression" dxfId="22" priority="6">
      <x:formula>C5=1</x:formula>
    </x:cfRule>
    <x:cfRule type="expression" dxfId="21" priority="7">
      <x:formula>C5=2</x:formula>
    </x:cfRule>
    <x:cfRule type="expression" dxfId="20" priority="8">
      <x:formula>C5=3</x:formula>
    </x:cfRule>
  </x:conditionalFormatting>
  <x:conditionalFormatting sqref="C5:G17">
    <x:cfRule type="expression" dxfId="19" priority="1">
      <x:formula>C5=0</x:formula>
    </x:cfRule>
    <x:cfRule type="expression" dxfId="18" priority="2">
      <x:formula>C5=1</x:formula>
    </x:cfRule>
    <x:cfRule type="expression" dxfId="17" priority="3">
      <x:formula>C5=2</x:formula>
    </x:cfRule>
    <x:cfRule type="expression" dxfId="16" priority="4">
      <x:formula>C5=3</x:formula>
    </x:cfRule>
  </x:conditionalFormatting>
  <x:conditionalFormatting sqref="D5:D17">
    <x:cfRule type="expression" dxfId="15" priority="9">
      <x:formula>D5=0</x:formula>
    </x:cfRule>
    <x:cfRule type="expression" dxfId="14" priority="10">
      <x:formula>D5=1</x:formula>
    </x:cfRule>
    <x:cfRule type="expression" dxfId="13" priority="11">
      <x:formula>D5=2</x:formula>
    </x:cfRule>
    <x:cfRule type="expression" dxfId="12" priority="12">
      <x:formula>D5=3</x:formula>
    </x:cfRule>
  </x:conditionalFormatting>
  <x:conditionalFormatting sqref="E5:E17">
    <x:cfRule type="expression" dxfId="11" priority="13">
      <x:formula>E5=0</x:formula>
    </x:cfRule>
    <x:cfRule type="expression" dxfId="10" priority="14">
      <x:formula>E5=1</x:formula>
    </x:cfRule>
    <x:cfRule type="expression" dxfId="9" priority="15">
      <x:formula>E5=2</x:formula>
    </x:cfRule>
    <x:cfRule type="expression" dxfId="8" priority="16">
      <x:formula>E5=3</x:formula>
    </x:cfRule>
  </x:conditionalFormatting>
  <x:conditionalFormatting sqref="F5:F17">
    <x:cfRule type="expression" dxfId="7" priority="17">
      <x:formula>F5=0</x:formula>
    </x:cfRule>
    <x:cfRule type="expression" dxfId="6" priority="18">
      <x:formula>F5=1</x:formula>
    </x:cfRule>
    <x:cfRule type="expression" dxfId="5" priority="19">
      <x:formula>F5=2</x:formula>
    </x:cfRule>
    <x:cfRule type="expression" dxfId="4" priority="20">
      <x:formula>F5=3</x:formula>
    </x:cfRule>
  </x:conditionalFormatting>
  <x:conditionalFormatting sqref="G5:G17">
    <x:cfRule type="expression" dxfId="3" priority="21">
      <x:formula>G5=0</x:formula>
    </x:cfRule>
    <x:cfRule type="expression" dxfId="2" priority="22">
      <x:formula>G5=1</x:formula>
    </x:cfRule>
    <x:cfRule type="expression" dxfId="1" priority="23">
      <x:formula>G5=2</x:formula>
    </x:cfRule>
    <x:cfRule type="expression" dxfId="0" priority="24">
      <x:formula>G5=3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577497550143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58" hidden="0" customWidth="1"/>
    <x:col min="4" max="4" width="22" hidden="0" customWidth="1"/>
    <x:col min="5" max="5" width="28" hidden="0" customWidth="1"/>
    <x:col min="6" max="6" width="55" hidden="0" customWidth="1"/>
    <x:col min="7" max="7" width="42" hidden="0" customWidth="1"/>
    <x:col min="8" max="8" width="34" hidden="0" customWidth="1"/>
    <x:col min="9" max="9" width="14" hidden="0" customWidth="1"/>
  </x:cols>
  <x:sheetData>
    <x:row r="1" ht="30" customHeight="1">
      <x:c r="A1" s="96" t="str">
        <x:v>References from the supplied presentation screenshot</x:v>
      </x:c>
      <x:c r="B1" s="96"/>
      <x:c r="C1" s="96"/>
      <x:c r="D1" s="96"/>
      <x:c r="E1" s="96"/>
      <x:c r="F1" s="96"/>
      <x:c r="G1" s="96"/>
      <x:c r="H1" s="96"/>
      <x:c r="I1" s="96"/>
    </x:row>
    <x:row r="2" ht="28" customHeight="1">
      <x:c r="A2" s="101" t="str">
        <x:v>All 21 entries retained: 15 candidate works and 6 journal source pools. Original author/title/year wording is preserved. These are NOT 21 verified publications, completed readings, or additional scored Praxes.</x:v>
      </x:c>
      <x:c r="B2" s="101"/>
      <x:c r="C2" s="101"/>
      <x:c r="D2" s="101"/>
      <x:c r="E2" s="101"/>
      <x:c r="F2" s="101"/>
      <x:c r="G2" s="101"/>
      <x:c r="H2" s="101"/>
      <x:c r="I2" s="101"/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</x:row>
    <x:row r="4">
      <x:c r="A4" s="93"/>
      <x:c r="B4" s="93"/>
      <x:c r="C4" s="93"/>
      <x:c r="D4" s="93"/>
      <x:c r="E4" s="93"/>
      <x:c r="F4" s="93"/>
      <x:c r="G4" s="93"/>
      <x:c r="H4" s="93"/>
      <x:c r="I4" s="93"/>
    </x:row>
    <x:row r="5" ht="36" customHeight="1">
      <x:c r="A5" s="110" t="str">
        <x:v>ID</x:v>
      </x:c>
      <x:c r="B5" s="110" t="str">
        <x:v>Source category</x:v>
      </x:c>
      <x:c r="C5" s="110" t="str">
        <x:v>Entry exactly as supplied</x:v>
      </x:c>
      <x:c r="D5" s="110" t="str">
        <x:v>Record type</x:v>
      </x:c>
      <x:c r="E5" s="110" t="str">
        <x:v>Citation status</x:v>
      </x:c>
      <x:c r="F5" s="110" t="str">
        <x:v>Check / next action</x:v>
      </x:c>
      <x:c r="G5" s="110" t="str">
        <x:v>Verification link (where established)</x:v>
      </x:c>
      <x:c r="H5" s="110" t="str">
        <x:v>Provenance</x:v>
      </x:c>
      <x:c r="I5" s="110" t="str">
        <x:v>Added</x:v>
      </x:c>
    </x:row>
    <x:row r="6" ht="72" customHeight="1">
      <x:c r="A6" s="113" t="str">
        <x:v>SLIDE-01</x:v>
      </x:c>
      <x:c r="B6" s="113" t="str">
        <x:v>Government &amp; Federally Funded Research</x:v>
      </x:c>
      <x:c r="C6" s="113" t="str">
        <x:v>RAND Corporation. (2022). Resilient Space Architectures: Assessing Multi Orbit Dependencies.</x:v>
      </x:c>
      <x:c r="D6" s="113" t="str">
        <x:v>Candidate work</x:v>
      </x:c>
      <x:c r="E6" s="124" t="str">
        <x:v>Exact citation not established</x:v>
      </x:c>
      <x:c r="F6" s="113" t="str">
        <x:v>Exact title/year not established by this search. Do not substitute the already-held 2023 RAND report without explicitly changing the citation.</x:v>
      </x:c>
      <x:c r="G6" s="113"/>
      <x:c r="H6" s="113" t="str">
        <x:v>AAA References ALSO JIDE Screenshot 2026-09-14 201717.png</x:v>
      </x:c>
      <x:c r="I6" s="115" t="n">
        <x:v>46280</x:v>
      </x:c>
    </x:row>
    <x:row r="7" ht="72" customHeight="1">
      <x:c r="A7" s="107" t="str">
        <x:v>SLIDE-02</x:v>
      </x:c>
      <x:c r="B7" s="107" t="str">
        <x:v>Government &amp; Federally Funded Research</x:v>
      </x:c>
      <x:c r="C7" s="107" t="str">
        <x:v>NASA. (2020). SCaN Architecture Strategy for 2030.</x:v>
      </x:c>
      <x:c r="D7" s="107" t="str">
        <x:v>Candidate work</x:v>
      </x:c>
      <x:c r="E7" s="124" t="str">
        <x:v>Exact citation not established</x:v>
      </x:c>
      <x:c r="F7" s="107" t="str">
        <x:v>Exact title/version not established. Existing SCaN Architecture Definition Document is a different reference, not verification of this line.</x:v>
      </x:c>
      <x:c r="G7" s="107"/>
      <x:c r="H7" s="107" t="str">
        <x:v>AAA References ALSO JIDE Screenshot 2026-09-14 201717.png</x:v>
      </x:c>
      <x:c r="I7" s="116" t="n">
        <x:v>46280</x:v>
      </x:c>
    </x:row>
    <x:row r="8" ht="72" customHeight="1">
      <x:c r="A8" s="113" t="str">
        <x:v>SLIDE-03</x:v>
      </x:c>
      <x:c r="B8" s="113" t="str">
        <x:v>Government &amp; Federally Funded Research</x:v>
      </x:c>
      <x:c r="C8" s="113" t="str">
        <x:v>U.S. Space Force. (2023). Spacepower Capstone Publication.</x:v>
      </x:c>
      <x:c r="D8" s="113" t="str">
        <x:v>Candidate work</x:v>
      </x:c>
      <x:c r="E8" s="124" t="str">
        <x:v>Exact citation not established</x:v>
      </x:c>
      <x:c r="F8" s="113" t="str">
        <x:v>The original Spacepower capstone was released 10 August 2020. The screenshot's 2023 item/version has not been identified.</x:v>
      </x:c>
      <x:c r="G8" s="113" t="str">
        <x:v>https://www.ussf-cfc.spaceforce.mil/News/Article-Display/Article/2329221/space-force-releases-1st-doctrine-defines-spacepower-as-distinct-form-of-milita</x:v>
      </x:c>
      <x:c r="H8" s="113" t="str">
        <x:v>AAA References ALSO JIDE Screenshot 2026-09-14 201717.png</x:v>
      </x:c>
      <x:c r="I8" s="115" t="n">
        <x:v>46280</x:v>
      </x:c>
    </x:row>
    <x:row r="9" ht="72" customHeight="1">
      <x:c r="A9" s="107" t="str">
        <x:v>SLIDE-04</x:v>
      </x:c>
      <x:c r="B9" s="107" t="str">
        <x:v>Government &amp; Federally Funded Research</x:v>
      </x:c>
      <x:c r="C9" s="107" t="str">
        <x:v>U.S. Space Force. (2022). Resilient space architecture and mission assurance in contested environments. DoD/USSF publications.</x:v>
      </x:c>
      <x:c r="D9" s="107" t="str">
        <x:v>Candidate work</x:v>
      </x:c>
      <x:c r="E9" s="124" t="str">
        <x:v>Exact citation not established</x:v>
      </x:c>
      <x:c r="F9" s="107" t="str">
        <x:v>Needs an identifiable publication title, report number, version and official URL. Not independently verified in this intake.</x:v>
      </x:c>
      <x:c r="G9" s="107"/>
      <x:c r="H9" s="107" t="str">
        <x:v>AAA References ALSO JIDE Screenshot 2026-09-14 201717.png</x:v>
      </x:c>
      <x:c r="I9" s="116" t="n">
        <x:v>46280</x:v>
      </x:c>
    </x:row>
    <x:row r="10" ht="72" customHeight="1">
      <x:c r="A10" s="113" t="str">
        <x:v>SLIDE-05</x:v>
      </x:c>
      <x:c r="B10" s="113" t="str">
        <x:v>Government &amp; Federally Funded Research</x:v>
      </x:c>
      <x:c r="C10" s="113" t="str">
        <x:v>DoD. (2022). Defense Space Strategy Review.</x:v>
      </x:c>
      <x:c r="D10" s="113" t="str">
        <x:v>Candidate work</x:v>
      </x:c>
      <x:c r="E10" s="124" t="str">
        <x:v>Exact citation not established</x:v>
      </x:c>
      <x:c r="F10" s="113" t="str">
        <x:v>Verified related publication: Defense Space Strategy released 17 June 2020. It does not validate this differently titled/year entry.</x:v>
      </x:c>
      <x:c r="G10" s="113" t="str">
        <x:v>https://www.sda.mil/department-of-defense-releases-defense-space-strategy/</x:v>
      </x:c>
      <x:c r="H10" s="113" t="str">
        <x:v>AAA References ALSO JIDE Screenshot 2026-09-14 201717.png</x:v>
      </x:c>
      <x:c r="I10" s="115" t="n">
        <x:v>46280</x:v>
      </x:c>
    </x:row>
    <x:row r="11" ht="72" customHeight="1">
      <x:c r="A11" s="107" t="str">
        <x:v>SLIDE-06</x:v>
      </x:c>
      <x:c r="B11" s="107" t="str">
        <x:v>Government &amp; Federally Funded Research</x:v>
      </x:c>
      <x:c r="C11" s="107" t="str">
        <x:v>ESA. (2021). Future Space Communications Architecture Study.</x:v>
      </x:c>
      <x:c r="D11" s="107" t="str">
        <x:v>Candidate work</x:v>
      </x:c>
      <x:c r="E11" s="124" t="str">
        <x:v>Exact citation not established</x:v>
      </x:c>
      <x:c r="F11" s="107" t="str">
        <x:v>Retained as supplied; requires exact ESA report identifier and public copy before citation.</x:v>
      </x:c>
      <x:c r="G11" s="107"/>
      <x:c r="H11" s="107" t="str">
        <x:v>AAA References ALSO JIDE Screenshot 2026-09-14 201717.png</x:v>
      </x:c>
      <x:c r="I11" s="116" t="n">
        <x:v>46280</x:v>
      </x:c>
    </x:row>
    <x:row r="12" ht="72" customHeight="1">
      <x:c r="A12" s="113" t="str">
        <x:v>SLIDE-07</x:v>
      </x:c>
      <x:c r="B12" s="113" t="str">
        <x:v>Government &amp; Federally Funded Research</x:v>
      </x:c>
      <x:c r="C12" s="113" t="str">
        <x:v>National Academies of Sciences. (2020). Space-Based Communications and Navigation: A Strategic Outlook.</x:v>
      </x:c>
      <x:c r="D12" s="113" t="str">
        <x:v>Candidate work</x:v>
      </x:c>
      <x:c r="E12" s="124" t="str">
        <x:v>Exact citation not established</x:v>
      </x:c>
      <x:c r="F12" s="113" t="str">
        <x:v>Retained as supplied; exact title, committee/publisher metadata and DOI/publication URL not yet verified.</x:v>
      </x:c>
      <x:c r="G12" s="113"/>
      <x:c r="H12" s="113" t="str">
        <x:v>AAA References ALSO JIDE Screenshot 2026-09-14 201717.png</x:v>
      </x:c>
      <x:c r="I12" s="115" t="n">
        <x:v>46280</x:v>
      </x:c>
    </x:row>
    <x:row r="13" ht="60" customHeight="1">
      <x:c r="A13" s="107" t="str">
        <x:v>SLIDE-08</x:v>
      </x:c>
      <x:c r="B13" s="107" t="str">
        <x:v>Peer-Reviewed Journals</x:v>
      </x:c>
      <x:c r="C13" s="107" t="str">
        <x:v>AIAA Journal of Spacecraft and Rockets</x:v>
      </x:c>
      <x:c r="D13" s="107" t="str">
        <x:v>Journal source pool</x:v>
      </x:c>
      <x:c r="E13" s="126" t="str">
        <x:v>Source pool — not an article</x:v>
      </x:c>
      <x:c r="F13" s="107" t="str">
        <x:v>A journal name alone is not a bibliographic citation. Select a specific relevant article; verify authors, year, title and DOI.</x:v>
      </x:c>
      <x:c r="G13" s="107"/>
      <x:c r="H13" s="107" t="str">
        <x:v>AAA References ALSO JIDE Screenshot 2026-09-14 201717.png</x:v>
      </x:c>
      <x:c r="I13" s="116" t="n">
        <x:v>46280</x:v>
      </x:c>
    </x:row>
    <x:row r="14" ht="60" customHeight="1">
      <x:c r="A14" s="113" t="str">
        <x:v>SLIDE-09</x:v>
      </x:c>
      <x:c r="B14" s="113" t="str">
        <x:v>Peer-Reviewed Journals</x:v>
      </x:c>
      <x:c r="C14" s="113" t="str">
        <x:v>IEEE Transactions on Aerospace and Electronic Systems</x:v>
      </x:c>
      <x:c r="D14" s="113" t="str">
        <x:v>Journal source pool</x:v>
      </x:c>
      <x:c r="E14" s="126" t="str">
        <x:v>Source pool — not an article</x:v>
      </x:c>
      <x:c r="F14" s="113" t="str">
        <x:v>Retain as a journal search lead. No specific article supplied.</x:v>
      </x:c>
      <x:c r="G14" s="113"/>
      <x:c r="H14" s="113" t="str">
        <x:v>AAA References ALSO JIDE Screenshot 2026-09-14 201717.png</x:v>
      </x:c>
      <x:c r="I14" s="115" t="n">
        <x:v>46280</x:v>
      </x:c>
    </x:row>
    <x:row r="15" ht="60" customHeight="1">
      <x:c r="A15" s="107" t="str">
        <x:v>SLIDE-10</x:v>
      </x:c>
      <x:c r="B15" s="107" t="str">
        <x:v>Peer-Reviewed Journals</x:v>
      </x:c>
      <x:c r="C15" s="107" t="str">
        <x:v>Acta Astronautica</x:v>
      </x:c>
      <x:c r="D15" s="107" t="str">
        <x:v>Journal source pool</x:v>
      </x:c>
      <x:c r="E15" s="126" t="str">
        <x:v>Source pool — not an article</x:v>
      </x:c>
      <x:c r="F15" s="107" t="str">
        <x:v>Retain as a journal search lead. No specific article supplied.</x:v>
      </x:c>
      <x:c r="G15" s="107"/>
      <x:c r="H15" s="107" t="str">
        <x:v>AAA References ALSO JIDE Screenshot 2026-09-14 201717.png</x:v>
      </x:c>
      <x:c r="I15" s="116" t="n">
        <x:v>46280</x:v>
      </x:c>
    </x:row>
    <x:row r="16" ht="60" customHeight="1">
      <x:c r="A16" s="113" t="str">
        <x:v>SLIDE-11</x:v>
      </x:c>
      <x:c r="B16" s="113" t="str">
        <x:v>Peer-Reviewed Journals</x:v>
      </x:c>
      <x:c r="C16" s="113" t="str">
        <x:v>Systems Engineering Journal</x:v>
      </x:c>
      <x:c r="D16" s="113" t="str">
        <x:v>Journal source pool</x:v>
      </x:c>
      <x:c r="E16" s="126" t="str">
        <x:v>Source pool — not an article</x:v>
      </x:c>
      <x:c r="F16" s="113" t="str">
        <x:v>Retain supplied wording; verify journal title and then identify a specific article.</x:v>
      </x:c>
      <x:c r="G16" s="113"/>
      <x:c r="H16" s="113" t="str">
        <x:v>AAA References ALSO JIDE Screenshot 2026-09-14 201717.png</x:v>
      </x:c>
      <x:c r="I16" s="115" t="n">
        <x:v>46280</x:v>
      </x:c>
    </x:row>
    <x:row r="17" ht="60" customHeight="1">
      <x:c r="A17" s="107" t="str">
        <x:v>SLIDE-12</x:v>
      </x:c>
      <x:c r="B17" s="107" t="str">
        <x:v>Peer-Reviewed Journals</x:v>
      </x:c>
      <x:c r="C17" s="107" t="str">
        <x:v>Journal of Aerospace Information Systems</x:v>
      </x:c>
      <x:c r="D17" s="107" t="str">
        <x:v>Journal source pool</x:v>
      </x:c>
      <x:c r="E17" s="126" t="str">
        <x:v>Source pool — not an article</x:v>
      </x:c>
      <x:c r="F17" s="107" t="str">
        <x:v>Retain as a journal search lead. No specific article supplied.</x:v>
      </x:c>
      <x:c r="G17" s="107"/>
      <x:c r="H17" s="107" t="str">
        <x:v>AAA References ALSO JIDE Screenshot 2026-09-14 201717.png</x:v>
      </x:c>
      <x:c r="I17" s="116" t="n">
        <x:v>46280</x:v>
      </x:c>
    </x:row>
    <x:row r="18" ht="60" customHeight="1">
      <x:c r="A18" s="113" t="str">
        <x:v>SLIDE-13</x:v>
      </x:c>
      <x:c r="B18" s="113" t="str">
        <x:v>Peer-Reviewed Journals</x:v>
      </x:c>
      <x:c r="C18" s="113" t="str">
        <x:v>International Journal of Satellite Communications and Networking</x:v>
      </x:c>
      <x:c r="D18" s="113" t="str">
        <x:v>Journal source pool</x:v>
      </x:c>
      <x:c r="E18" s="126" t="str">
        <x:v>Source pool — not an article</x:v>
      </x:c>
      <x:c r="F18" s="113" t="str">
        <x:v>Retain as a journal search lead. No specific article supplied.</x:v>
      </x:c>
      <x:c r="G18" s="113"/>
      <x:c r="H18" s="113" t="str">
        <x:v>AAA References ALSO JIDE Screenshot 2026-09-14 201717.png</x:v>
      </x:c>
      <x:c r="I18" s="115" t="n">
        <x:v>46280</x:v>
      </x:c>
    </x:row>
    <x:row r="19" ht="72" customHeight="1">
      <x:c r="A19" s="107" t="str">
        <x:v>SLIDE-14</x:v>
      </x:c>
      <x:c r="B19" s="107" t="str">
        <x:v>Key Academic Works</x:v>
      </x:c>
      <x:c r="C19" s="107" t="str">
        <x:v>Mortari, D., et al. (2019). “LEO–MEO–GEO Integrated Constellations.” Acta Astronautica.</x:v>
      </x:c>
      <x:c r="D19" s="107" t="str">
        <x:v>Candidate work</x:v>
      </x:c>
      <x:c r="E19" s="124" t="str">
        <x:v>Exact citation not established</x:v>
      </x:c>
      <x:c r="F19" s="107" t="str">
        <x:v>Exact-title search did not establish this author/title/year combination. Need the original paper or DOI before citing.</x:v>
      </x:c>
      <x:c r="G19" s="107"/>
      <x:c r="H19" s="107" t="str">
        <x:v>AAA References ALSO JIDE Screenshot 2026-09-14 201717.png</x:v>
      </x:c>
      <x:c r="I19" s="116" t="n">
        <x:v>46280</x:v>
      </x:c>
    </x:row>
    <x:row r="20" ht="72" customHeight="1">
      <x:c r="A20" s="113" t="str">
        <x:v>SLIDE-15</x:v>
      </x:c>
      <x:c r="B20" s="113" t="str">
        <x:v>Key Academic Works</x:v>
      </x:c>
      <x:c r="C20" s="113" t="str">
        <x:v>Wood, L., et al. (2020). “Multi-Orbit Routing for Space Networks.” IEEE Aerospace Conference.</x:v>
      </x:c>
      <x:c r="D20" s="113" t="str">
        <x:v>Candidate work</x:v>
      </x:c>
      <x:c r="E20" s="124" t="str">
        <x:v>Exact citation not established</x:v>
      </x:c>
      <x:c r="F20" s="113" t="str">
        <x:v>Exact-title search did not establish this author/title/year combination. Need the original paper or DOI before citing.</x:v>
      </x:c>
      <x:c r="G20" s="113"/>
      <x:c r="H20" s="113" t="str">
        <x:v>AAA References ALSO JIDE Screenshot 2026-09-14 201717.png</x:v>
      </x:c>
      <x:c r="I20" s="115" t="n">
        <x:v>46280</x:v>
      </x:c>
    </x:row>
    <x:row r="21" ht="72" customHeight="1">
      <x:c r="A21" s="107" t="str">
        <x:v>SLIDE-16</x:v>
      </x:c>
      <x:c r="B21" s="107" t="str">
        <x:v>Key Academic Works</x:v>
      </x:c>
      <x:c r="C21" s="107" t="str">
        <x:v>Saleh, J., &amp; Newman, D. (2018). “System-of-Systems Resilience in Space Architectures.” Systems Engineering.</x:v>
      </x:c>
      <x:c r="D21" s="107" t="str">
        <x:v>Candidate work</x:v>
      </x:c>
      <x:c r="E21" s="124" t="str">
        <x:v>Exact citation not established</x:v>
      </x:c>
      <x:c r="F21" s="107" t="str">
        <x:v>Exact-title search did not establish this author/title/year combination. Need the original paper or DOI before citing.</x:v>
      </x:c>
      <x:c r="G21" s="107"/>
      <x:c r="H21" s="107" t="str">
        <x:v>AAA References ALSO JIDE Screenshot 2026-09-14 201717.png</x:v>
      </x:c>
      <x:c r="I21" s="116" t="n">
        <x:v>46280</x:v>
      </x:c>
    </x:row>
    <x:row r="22" ht="72" customHeight="1">
      <x:c r="A22" s="113" t="str">
        <x:v>SLIDE-17</x:v>
      </x:c>
      <x:c r="B22" s="113" t="str">
        <x:v>Key Academic Works</x:v>
      </x:c>
      <x:c r="C22" s="113" t="str">
        <x:v>Fossa, C., et al. (2021). “Starlink and the Future of Distributed Space Networks.” IEEE Communications Magazine.</x:v>
      </x:c>
      <x:c r="D22" s="113" t="str">
        <x:v>Candidate work</x:v>
      </x:c>
      <x:c r="E22" s="124" t="str">
        <x:v>Exact citation not established</x:v>
      </x:c>
      <x:c r="F22" s="113" t="str">
        <x:v>Exact-title search did not establish this author/title/year combination. Need the original paper or DOI before citing.</x:v>
      </x:c>
      <x:c r="G22" s="113"/>
      <x:c r="H22" s="113" t="str">
        <x:v>AAA References ALSO JIDE Screenshot 2026-09-14 201717.png</x:v>
      </x:c>
      <x:c r="I22" s="115" t="n">
        <x:v>46280</x:v>
      </x:c>
    </x:row>
    <x:row r="23" ht="72" customHeight="1">
      <x:c r="A23" s="107" t="str">
        <x:v>SLIDE-18</x:v>
      </x:c>
      <x:c r="B23" s="107" t="str">
        <x:v>Industry &amp; Technical Reports</x:v>
      </x:c>
      <x:c r="C23" s="107" t="str">
        <x:v>SpaceX. (2021). Starlink Architecture Overview.</x:v>
      </x:c>
      <x:c r="D23" s="107" t="str">
        <x:v>Candidate work</x:v>
      </x:c>
      <x:c r="E23" s="124" t="str">
        <x:v>Exact citation not established</x:v>
      </x:c>
      <x:c r="F23" s="107" t="str">
        <x:v>Retain as supplied; need exact released document and stable publisher link. An organization website is not a substitute citation.</x:v>
      </x:c>
      <x:c r="G23" s="107"/>
      <x:c r="H23" s="107" t="str">
        <x:v>AAA References ALSO JIDE Screenshot 2026-09-14 201717.png</x:v>
      </x:c>
      <x:c r="I23" s="116" t="n">
        <x:v>46280</x:v>
      </x:c>
    </x:row>
    <x:row r="24" ht="72" customHeight="1">
      <x:c r="A24" s="113" t="str">
        <x:v>SLIDE-19</x:v>
      </x:c>
      <x:c r="B24" s="113" t="str">
        <x:v>Industry &amp; Technical Reports</x:v>
      </x:c>
      <x:c r="C24" s="113" t="str">
        <x:v>OneWeb. (2022). Global Connectivity Architecture.</x:v>
      </x:c>
      <x:c r="D24" s="113" t="str">
        <x:v>Candidate work</x:v>
      </x:c>
      <x:c r="E24" s="124" t="str">
        <x:v>Exact citation not established</x:v>
      </x:c>
      <x:c r="F24" s="113" t="str">
        <x:v>Retain as supplied; need exact released document, date and stable publisher link.</x:v>
      </x:c>
      <x:c r="G24" s="113"/>
      <x:c r="H24" s="113" t="str">
        <x:v>AAA References ALSO JIDE Screenshot 2026-09-14 201717.png</x:v>
      </x:c>
      <x:c r="I24" s="115" t="n">
        <x:v>46280</x:v>
      </x:c>
    </x:row>
    <x:row r="25" ht="72" customHeight="1">
      <x:c r="A25" s="107" t="str">
        <x:v>SLIDE-20</x:v>
      </x:c>
      <x:c r="B25" s="107" t="str">
        <x:v>Industry &amp; Technical Reports</x:v>
      </x:c>
      <x:c r="C25" s="107" t="str">
        <x:v>MITRE. (2020). Resilient PNT and Multi-Orbit Integration.</x:v>
      </x:c>
      <x:c r="D25" s="107" t="str">
        <x:v>Candidate work</x:v>
      </x:c>
      <x:c r="E25" s="124" t="str">
        <x:v>Exact citation not established</x:v>
      </x:c>
      <x:c r="F25" s="107" t="str">
        <x:v>Retain as supplied; need report number, authors and public release URL.</x:v>
      </x:c>
      <x:c r="G25" s="107"/>
      <x:c r="H25" s="107" t="str">
        <x:v>AAA References ALSO JIDE Screenshot 2026-09-14 201717.png</x:v>
      </x:c>
      <x:c r="I25" s="116" t="n">
        <x:v>46280</x:v>
      </x:c>
    </x:row>
    <x:row r="26" ht="72" customHeight="1">
      <x:c r="A26" s="113" t="str">
        <x:v>SLIDE-21</x:v>
      </x:c>
      <x:c r="B26" s="113" t="str">
        <x:v>Industry &amp; Technical Reports</x:v>
      </x:c>
      <x:c r="C26" s="113" t="str">
        <x:v>Aerospace Corporation. (2023). Cross-Orbit Interoperability Challenges.</x:v>
      </x:c>
      <x:c r="D26" s="113" t="str">
        <x:v>Candidate work</x:v>
      </x:c>
      <x:c r="E26" s="124" t="str">
        <x:v>Exact citation not established</x:v>
      </x:c>
      <x:c r="F26" s="113" t="str">
        <x:v>Retain as supplied; need exact title, author(s), date and public release URL.</x:v>
      </x:c>
      <x:c r="G26" s="113"/>
      <x:c r="H26" s="113" t="str">
        <x:v>AAA References ALSO JIDE Screenshot 2026-09-14 201717.png</x:v>
      </x:c>
      <x:c r="I26" s="115" t="n">
        <x:v>46280</x:v>
      </x:c>
    </x:row>
  </x:sheetData>
  <x:mergeCells>
    <x:mergeCell ref="A1:I1"/>
    <x:mergeCell ref="A2:I3"/>
  </x:mergeCells>
  <x:conditionalFormatting sqref="E6:E26">
    <x:cfRule type="expression" dxfId="44" priority="1">
      <x:formula>$D6="Candidate work"</x:formula>
    </x:cfRule>
    <x:cfRule type="expression" dxfId="45" priority="2">
      <x:formula>$D6="Journal source pool"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228a01ba4c464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9" hidden="0" customWidth="1"/>
    <x:col min="4" max="4" width="63" hidden="0" customWidth="1"/>
    <x:col min="5" max="5" width="45" hidden="0" customWidth="1"/>
    <x:col min="6" max="6" width="37" hidden="0" customWidth="1"/>
    <x:col min="7" max="7" width="61" hidden="0" customWidth="1"/>
    <x:col min="8" max="8" width="14" hidden="0" customWidth="1"/>
  </x:cols>
  <x:sheetData>
    <x:row r="1" ht="30" customHeight="1">
      <x:c r="A1" s="96" t="str">
        <x:v>Foundational references and research artifacts</x:v>
      </x:c>
      <x:c r="B1" s="96"/>
      <x:c r="C1" s="96"/>
      <x:c r="D1" s="96"/>
      <x:c r="E1" s="96"/>
      <x:c r="F1" s="96"/>
      <x:c r="G1" s="96"/>
      <x:c r="H1" s="96"/>
    </x:row>
    <x:row r="2" ht="28" customHeight="1">
      <x:c r="A2" s="101" t="str">
        <x:v>Separate from the 31 scored GWU works and from the screenshot leads. Repository/product entries are useful locators; several require a complete citation export before use in the final bibliography.</x:v>
      </x:c>
      <x:c r="B2" s="101"/>
      <x:c r="C2" s="101"/>
      <x:c r="D2" s="101"/>
      <x:c r="E2" s="101"/>
      <x:c r="F2" s="101"/>
      <x:c r="G2" s="101"/>
      <x:c r="H2" s="101"/>
    </x:row>
    <x:row r="3">
      <x:c r="A3" s="101"/>
      <x:c r="B3" s="101"/>
      <x:c r="C3" s="101"/>
      <x:c r="D3" s="101"/>
      <x:c r="E3" s="101"/>
      <x:c r="F3" s="101"/>
      <x:c r="G3" s="101"/>
      <x:c r="H3" s="101"/>
    </x:row>
    <x:row r="4">
      <x:c r="A4" s="93"/>
      <x:c r="B4" s="93"/>
      <x:c r="C4" s="93"/>
      <x:c r="D4" s="93"/>
      <x:c r="E4" s="93"/>
      <x:c r="F4" s="93"/>
      <x:c r="G4" s="93"/>
      <x:c r="H4" s="93"/>
    </x:row>
    <x:row r="5" ht="36" customHeight="1">
      <x:c r="A5" s="110" t="str">
        <x:v>ID</x:v>
      </x:c>
      <x:c r="B5" s="110" t="str">
        <x:v>Type</x:v>
      </x:c>
      <x:c r="C5" s="110" t="str">
        <x:v>Year</x:v>
      </x:c>
      <x:c r="D5" s="110" t="str">
        <x:v>Citation / identifiable source</x:v>
      </x:c>
      <x:c r="E5" s="110" t="str">
        <x:v>Stable URL / DOI</x:v>
      </x:c>
      <x:c r="F5" s="110" t="str">
        <x:v>Evidence / citation readiness</x:v>
      </x:c>
      <x:c r="G5" s="110" t="str">
        <x:v>Use and limits</x:v>
      </x:c>
      <x:c r="H5" s="110" t="str">
        <x:v>Recorded</x:v>
      </x:c>
    </x:row>
    <x:row r="6" ht="104" customHeight="1">
      <x:c r="A6" s="113" t="str">
        <x:v>REF-01</x:v>
      </x:c>
      <x:c r="B6" s="113" t="str">
        <x:v>Report</x:v>
      </x:c>
      <x:c r="C6" s="113" t="n">
        <x:v>2023</x:v>
      </x:c>
      <x:c r="D6" s="113" t="str">
        <x:v>Osoba, O. A., Nacouzi, G., Hagen, J., Tran, J., Zhang, L. A., Herron, M., Lynch, C., Eisman, M., &amp; Barton, C. (2023). The resilience assessment framework: Assessing commercial contributions to U.S. Space Force mission resilience (RR-A980-1). RAND Corporation.</x:v>
      </x:c>
      <x:c r="E6" s="113" t="str">
        <x:v>https://doi.org/10.7249/RRA980-1</x:v>
      </x:c>
      <x:c r="F6" s="113" t="str">
        <x:v>Identified report; publication page rechecked</x:v>
      </x:c>
      <x:c r="G6" s="113" t="str">
        <x:v>Resilience concepts and architecture comparison. Not raw network-performance data; distinct from the screenshot's unverified 2022 RAND title.</x:v>
      </x:c>
      <x:c r="H6" s="115" t="n">
        <x:v>46280</x:v>
      </x:c>
    </x:row>
    <x:row r="7" ht="104" customHeight="1">
      <x:c r="A7" s="107" t="str">
        <x:v>REF-02</x:v>
      </x:c>
      <x:c r="B7" s="107" t="str">
        <x:v>Architecture document</x:v>
      </x:c>
      <x:c r="C7" s="107" t="n">
        <x:v>2013</x:v>
      </x:c>
      <x:c r="D7" s="107" t="str">
        <x:v>National Aeronautics and Space Administration. (2013). Space Communications and Navigation (SCaN) Network Architecture Definition Document (ADD): Executive Summary, Volume 1, Revision 4.</x:v>
      </x:c>
      <x:c r="E7" s="107" t="str">
        <x:v>https://www.nasa.gov/wp-content/uploads/2023/09/scan-add-vol1rev4.pdf</x:v>
      </x:c>
      <x:c r="F7" s="107" t="str">
        <x:v>Existing final-submission reference</x:v>
      </x:c>
      <x:c r="G7" s="107" t="str">
        <x:v>Architecture assumptions; not operational performance measurements. Not a substitute for the screenshot's unverified 2020 strategy title.</x:v>
      </x:c>
      <x:c r="H7" s="116" t="n">
        <x:v>46280</x:v>
      </x:c>
    </x:row>
    <x:row r="8" ht="104" customHeight="1">
      <x:c r="A8" s="113" t="str">
        <x:v>REF-03</x:v>
      </x:c>
      <x:c r="B8" s="113" t="str">
        <x:v>Journal article</x:v>
      </x:c>
      <x:c r="C8" s="113" t="n">
        <x:v>2021</x:v>
      </x:c>
      <x:c r="D8" s="113" t="str">
        <x:v>Kodheli, O., Lagunas, E., Maturo, N., et al. (2021). Satellite communications in the new space era: A survey and future challenges. IEEE Communications Surveys &amp; Tutorials, 23, 70–109.</x:v>
      </x:c>
      <x:c r="E8" s="113" t="str">
        <x:v>https://ieeexplore.ieee.org/document/9210567</x:v>
      </x:c>
      <x:c r="F8" s="113" t="str">
        <x:v>Existing reference; complete author export pending</x:v>
      </x:c>
      <x:c r="G8" s="113" t="str">
        <x:v>Satellite communications and onboard-processing background. Expand the author list from the publisher before final APA submission.</x:v>
      </x:c>
      <x:c r="H8" s="115" t="n">
        <x:v>46280</x:v>
      </x:c>
    </x:row>
    <x:row r="9" ht="104" customHeight="1">
      <x:c r="A9" s="107" t="str">
        <x:v>REF-04</x:v>
      </x:c>
      <x:c r="B9" s="107" t="str">
        <x:v>Orbital data product</x:v>
      </x:c>
      <x:c r="C9" s="107"/>
      <x:c r="D9" s="107" t="str">
        <x:v>CelesTrak. (n.d.). NORAD GP element sets: Current data.</x:v>
      </x:c>
      <x:c r="E9" s="107" t="str">
        <x:v>https://celestrak.org/NORAD/elements/</x:v>
      </x:c>
      <x:c r="F9" s="107" t="str">
        <x:v>Existing public-product reference</x:v>
      </x:c>
      <x:c r="G9" s="107" t="str">
        <x:v>Orbital elements for visibility/access calculations; record retrieval date and snapshot. Predicted access is not measured uptime.</x:v>
      </x:c>
      <x:c r="H9" s="116" t="n">
        <x:v>46280</x:v>
      </x:c>
    </x:row>
    <x:row r="10" ht="104" customHeight="1">
      <x:c r="A10" s="113" t="str">
        <x:v>REF-05</x:v>
      </x:c>
      <x:c r="B10" s="113" t="str">
        <x:v>Environmental data product</x:v>
      </x:c>
      <x:c r="C10" s="113"/>
      <x:c r="D10" s="113" t="str">
        <x:v>National Oceanic and Atmospheric Administration, Space Weather Prediction Center. (n.d.). Planetary K-index.</x:v>
      </x:c>
      <x:c r="E10" s="113" t="str">
        <x:v>https://www.spaceweather.gov/products/planetary-k-index</x:v>
      </x:c>
      <x:c r="F10" s="113" t="str">
        <x:v>Existing public-product reference</x:v>
      </x:c>
      <x:c r="G10" s="113" t="str">
        <x:v>Environmental disturbance index, not direct latency or downtime. Save product version and observation intervals.</x:v>
      </x:c>
      <x:c r="H10" s="115" t="n">
        <x:v>46280</x:v>
      </x:c>
    </x:row>
    <x:row r="11" ht="104" customHeight="1">
      <x:c r="A11" s="107" t="str">
        <x:v>REF-06</x:v>
      </x:c>
      <x:c r="B11" s="107" t="str">
        <x:v>Dataset</x:v>
      </x:c>
      <x:c r="C11" s="107" t="n">
        <x:v>2025</x:v>
      </x:c>
      <x:c r="D11" s="107" t="str">
        <x:v>Garcia, Johan; Sundberg, Simon. (2025). Dataset for "A Detailed Characterization of Starlink One-way Delay", ACM LEONET 2025.</x:v>
      </x:c>
      <x:c r="E11" s="107" t="str">
        <x:v>https://doi.org/10.5281/zenodo.16275284</x:v>
      </x:c>
      <x:c r="F11" s="107" t="str">
        <x:v>Provider response received 27 Sep 2026; dataset v1/public; UL/DL OWD semantics confirmed.</x:v>
      </x:c>
      <x:c r="G11" s="107" t="str">
        <x:v>DIRECT COMM fit: per-packet uplink/downlink one-way delay in ns from Karlstad, Sweden (Apr 2025). Provider confirms use for latency distributions/tails and reconfiguration behavior. RTT is DERIVED only with careful per-sample pairing because link scheduling matters. Sequence-number gaps can support interruption/non-response analysis only after excluding timestamp-readout failures; not a labeled outage/packet-loss table. Bulk numerical archive still uninspected.</x:v>
      </x:c>
      <x:c r="H11" s="116" t="n">
        <x:v>46280</x:v>
      </x:c>
    </x:row>
    <x:row r="12" ht="104" customHeight="1">
      <x:c r="A12" s="113" t="str">
        <x:v>REF-07</x:v>
      </x:c>
      <x:c r="B12" s="113" t="str">
        <x:v>Conference paper</x:v>
      </x:c>
      <x:c r="C12" s="113" t="n">
        <x:v>2025</x:v>
      </x:c>
      <x:c r="D12" s="113" t="str">
        <x:v>Garcia, Johan; Sundberg, Simon; Brunstrom, Anna. (2025). A Detailed Characterization of Starlink One-way Delay.</x:v>
      </x:c>
      <x:c r="E12" s="113" t="str">
        <x:v>https://doi.org/10.1145/3748749.3749090</x:v>
      </x:c>
      <x:c r="F12" s="113" t="str">
        <x:v>Provider response received 27 Sep 2026; paper confirmed as interpretation/method reference for the public dataset.</x:v>
      </x:c>
      <x:c r="G12" s="113" t="str">
        <x:v>Use for measurement cadence, 15-s reconfiguration behavior, timing methodology, and interpretation of UL/DL OWD. Supports COMM calibration/validation; does not provide current OPS-SAT/OMNI simultaneity.</x:v>
      </x:c>
      <x:c r="H12" s="115" t="n">
        <x:v>46280</x:v>
      </x:c>
    </x:row>
    <x:row r="13" ht="104" customHeight="1">
      <x:c r="A13" s="107" t="str">
        <x:v>REF-08</x:v>
      </x:c>
      <x:c r="B13" s="107" t="str">
        <x:v>Dataset</x:v>
      </x:c>
      <x:c r="C13" s="107" t="n">
        <x:v>2026</x:v>
      </x:c>
      <x:c r="D13" s="107" t="str">
        <x:v>Lyberopoulos, George; Theodoropoulou, Eleni; Pappas, George. (2026). 7-Day Starlink Performance Characterization in Athens, Greece (NEXASPHERE Project).</x:v>
      </x:c>
      <x:c r="E13" s="107" t="str">
        <x:v>https://doi.org/10.5281/zenodo.20796667</x:v>
      </x:c>
      <x:c r="F13" s="107" t="str">
        <x:v>Locator recorded in 14 Sep register; final citation export pending</x:v>
      </x:c>
      <x:c r="G13" s="107" t="str">
        <x:v>CSV/JSON nominal performance/telemetry; not an outage-rich sample.</x:v>
      </x:c>
      <x:c r="H13" s="116" t="n">
        <x:v>46280</x:v>
      </x:c>
    </x:row>
    <x:row r="14" ht="104" customHeight="1">
      <x:c r="A14" s="113" t="str">
        <x:v>REF-09</x:v>
      </x:c>
      <x:c r="B14" s="113" t="str">
        <x:v>Conference paper / open-data page</x:v>
      </x:c>
      <x:c r="C14" s="113" t="n">
        <x:v>2022</x:v>
      </x:c>
      <x:c r="D14" s="113" t="str">
        <x:v>Michel, François; Trevisan, Martino; Giordano, Danilo; Bonaventure, Olivier. (2022). A First Look at Starlink Performance.</x:v>
      </x:c>
      <x:c r="E14" s="113" t="str">
        <x:v>https://smartdata.polito.it/a-first-look-at-starlink-performance-open-data/</x:v>
      </x:c>
      <x:c r="F14" s="113" t="str">
        <x:v>Locator recorded in 14 Sep register; final citation export pending</x:v>
      </x:c>
      <x:c r="G14" s="113" t="str">
        <x:v>Load, throughput, delay, loss. Verify publisher export for final APA entry; landing-page conference-year typo retained in audit.</x:v>
      </x:c>
      <x:c r="H14" s="115" t="n">
        <x:v>46280</x:v>
      </x:c>
    </x:row>
    <x:row r="15" ht="104" customHeight="1">
      <x:c r="A15" s="107" t="str">
        <x:v>REF-10</x:v>
      </x:c>
      <x:c r="B15" s="107" t="str">
        <x:v>Journal paper</x:v>
      </x:c>
      <x:c r="C15" s="107" t="n">
        <x:v>2026</x:v>
      </x:c>
      <x:c r="D15" s="107" t="str">
        <x:v>Author metadata: use publisher citation export. (2026). Starlink on the move: performance analysis and characterization of LEO connectivity in sub-equatorial environments.</x:v>
      </x:c>
      <x:c r="E15" s="107" t="str">
        <x:v>https://doi.org/10.1007/s12243-026-01189-2</x:v>
      </x:c>
      <x:c r="F15" s="107" t="str">
        <x:v>Locator recorded in 14 Sep register; final citation export pending</x:v>
      </x:c>
      <x:c r="G15" s="107" t="str">
        <x:v>Dataset footnote exists; generic data-availability statement conflicts. Confirm exact data version with authors.</x:v>
      </x:c>
      <x:c r="H15" s="116" t="n">
        <x:v>46280</x:v>
      </x:c>
    </x:row>
    <x:row r="16" ht="104" customHeight="1">
      <x:c r="A16" s="113" t="str">
        <x:v>REF-11</x:v>
      </x:c>
      <x:c r="B16" s="113" t="str">
        <x:v>Conference paper</x:v>
      </x:c>
      <x:c r="C16" s="113" t="n">
        <x:v>2025</x:v>
      </x:c>
      <x:c r="D16" s="113" t="str">
        <x:v>Ullah, Muhammad Asad; Heikkinen, Antti; Uitto, Mikko; Höyhtyä, Marko; Anttonen, Antti; Mikhaylov, Konstantin; Lind, Timo. (2025). Starlink in Northern Europe: A New Look at Stationary and In-motion Performance.</x:v>
      </x:c>
      <x:c r="E16" s="113" t="str">
        <x:v>https://doi.org/10.1109/MeditCom64437.2025.11104426</x:v>
      </x:c>
      <x:c r="F16" s="113" t="str">
        <x:v>Provider response received 23 Sep 2026; paper retained, raw data unavailable</x:v>
      </x:c>
      <x:c r="G16" s="113" t="str">
        <x:v>Published measured network behavior remains relevant literature. Harri Saarnisaari confirmed the underlying data are no longer available and were not saved; do not treat this source as a downloadable DES dataset.</x:v>
      </x:c>
      <x:c r="H16" s="115" t="str">
        <x:v>2026-09-23</x:v>
      </x:c>
    </x:row>
    <x:row r="17" ht="104" customHeight="1">
      <x:c r="A17" s="107" t="str">
        <x:v>REF-12</x:v>
      </x:c>
      <x:c r="B17" s="107" t="str">
        <x:v>Paper / repository</x:v>
      </x:c>
      <x:c r="C17" s="107" t="n">
        <x:v>2026</x:v>
      </x:c>
      <x:c r="D17" s="107" t="str">
        <x:v>Benghe, C., Graure, V., Shreedhar, T., &amp; Mohan, N. (2026). Horizon: Understanding and predicting global Starlink performance. Proceedings of the ACM on Measurement and Analysis of Computing Systems, 10(2), Article 41.</x:v>
      </x:c>
      <x:c r="E17" s="107" t="str">
        <x:v>https://github.com/SPEAR-Research-Lab/Horizon-Predicting-Starlink-Performance</x:v>
      </x:c>
      <x:c r="F17" s="107" t="str">
        <x:v>Citation supplied by project repository; checked 15 Sep</x:v>
      </x:c>
      <x:c r="G17" s="107" t="str">
        <x:v>Observed data and predicted outputs must remain distinct. Obtain publisher citation export; not onboard AI/ML telemetry.</x:v>
      </x:c>
      <x:c r="H17" s="116" t="n">
        <x:v>46280</x:v>
      </x:c>
    </x:row>
    <x:row r="18" ht="104" customHeight="1">
      <x:c r="A18" s="113" t="str">
        <x:v>REF-13</x:v>
      </x:c>
      <x:c r="B18" s="113" t="str">
        <x:v>Dataset</x:v>
      </x:c>
      <x:c r="C18" s="113" t="n">
        <x:v>2026</x:v>
      </x:c>
      <x:c r="D18" s="113" t="str">
        <x:v>Benghe, C., Graure, V., Shreedhar, T., &amp; Mohan, N. (2026). Horizon: Understanding and predicting global Starlink performance – Dataset.</x:v>
      </x:c>
      <x:c r="E18" s="113" t="str">
        <x:v>https://doi.org/10.4121/0bf59468-e5cb-433f-aeb2-e04cf694b65c</x:v>
      </x:c>
      <x:c r="F18" s="113" t="str">
        <x:v>Dataset DOI supplied by project repository; files uninspected</x:v>
      </x:c>
      <x:c r="G18" s="113" t="str">
        <x:v>Country/ASN/date fields need inspection before geographic coverage claims; not independent of its M-Lab/Cloudflare sources.</x:v>
      </x:c>
      <x:c r="H18" s="115" t="n">
        <x:v>46280</x:v>
      </x:c>
    </x:row>
    <x:row r="19" ht="104" customHeight="1">
      <x:c r="A19" s="107" t="str">
        <x:v>REF-14</x:v>
      </x:c>
      <x:c r="B19" s="107" t="str">
        <x:v>Research repository</x:v>
      </x:c>
      <x:c r="C19" s="107"/>
      <x:c r="D19" s="107" t="str">
        <x:v>Breaking Through the Clouds: Performance Insights into Starlink's Latency and Packet Loss — research artifacts.</x:v>
      </x:c>
      <x:c r="E19" s="107" t="str">
        <x:v>https://github.com/diic-starlink/performance-insights-into-starlink</x:v>
      </x:c>
      <x:c r="F19" s="107" t="str">
        <x:v>Repository checked; full publication metadata pending</x:v>
      </x:c>
      <x:c r="G19" s="107" t="str">
        <x:v>Ping/traceroute/HTTP/TLS and probe-disconnect records; a disconnect does not prove end-user service outage.</x:v>
      </x:c>
      <x:c r="H19" s="116" t="n">
        <x:v>46280</x:v>
      </x:c>
    </x:row>
    <x:row r="20" ht="104" customHeight="1">
      <x:c r="A20" s="113" t="str">
        <x:v>REF-15</x:v>
      </x:c>
      <x:c r="B20" s="113" t="str">
        <x:v>Research project / public materials</x:v>
      </x:c>
      <x:c r="C20" s="113"/>
      <x:c r="D20" s="113" t="str">
        <x:v>NASA Jet Propulsion Laboratory. Autonomous Sciencecraft Experiment / automated planning and scheduling research.</x:v>
      </x:c>
      <x:c r="E20" s="113" t="str">
        <x:v>https://ai.jpl.nasa.gov/public/people/chien/</x:v>
      </x:c>
      <x:c r="F20" s="113" t="str">
        <x:v>Project and researcher profile checked; select exact publications</x:v>
      </x:c>
      <x:c r="G20" s="113" t="str">
        <x:v>Potential onboard task/decision-timing and human-intervention evidence. Data or code delivery not established.</x:v>
      </x:c>
      <x:c r="H20" s="115" t="n">
        <x:v>46280</x:v>
      </x:c>
    </x:row>
    <x:row r="21" ht="104" customHeight="1">
      <x:c r="A21" s="107" t="str">
        <x:v>REF-16</x:v>
      </x:c>
      <x:c r="B21" s="107" t="str">
        <x:v>Dataset / research repository</x:v>
      </x:c>
      <x:c r="C21" s="107"/>
      <x:c r="D21" s="107" t="str">
        <x:v>LENS: A LEO Satellite Network Measurement Dataset.</x:v>
      </x:c>
      <x:c r="E21" s="107" t="str">
        <x:v>https://github.com/clarkzjw/LENS</x:v>
      </x:c>
      <x:c r="F21" s="107" t="str">
        <x:v>Public repository checked; dataset citation/version to select</x:v>
      </x:c>
      <x:c r="G21" s="107" t="str">
        <x:v>Direct network measurements. Separate public discovery from Pan's still-pending file clarification; inspect loss and time conventions.</x:v>
      </x:c>
      <x:c r="H21" s="116" t="n">
        <x:v>46280</x:v>
      </x:c>
    </x:row>
    <x:row r="22" ht="104" customHeight="1">
      <x:c r="A22" s="113" t="str">
        <x:v>REF-17</x:v>
      </x:c>
      <x:c r="B22" s="113" t="str">
        <x:v>Dataset / research repository</x:v>
      </x:c>
      <x:c r="C22" s="113"/>
      <x:c r="D22" s="113" t="str">
        <x:v>WetLinks — satellite-network and weather research data.</x:v>
      </x:c>
      <x:c r="E22" s="113" t="str">
        <x:v>https://github.com/sys-uos/WetLinks</x:v>
      </x:c>
      <x:c r="F22" s="113" t="str">
        <x:v>Public repository checked; select release and paper citation</x:v>
      </x:c>
      <x:c r="G22" s="113" t="str">
        <x:v>RTT/loss/throughput/weather fields as documented; preserve sample and source-specific quality rules.</x:v>
      </x:c>
      <x:c r="H22" s="115" t="n">
        <x:v>46280</x:v>
      </x:c>
    </x:row>
    <x:row r="23">
      <x:c r="A23" t="str">
        <x:v>REF-18</x:v>
      </x:c>
      <x:c r="B23" t="str">
        <x:v>Environmental data archive / custodian confirmation</x:v>
      </x:c>
      <x:c r="C23" t="n">
        <x:v>2026</x:v>
      </x:c>
      <x:c r="D23" t="str">
        <x:v>Universidad Adventista de Chile, Centro de Instrumentación Científica (CINC). Ionospheric archive / meteorologiaespacial.cl; custodian confirmation from Manuel Alejandro Bravo Sepúlveda, 21 Sep 2026.</x:v>
      </x:c>
      <x:c r="E23" t="str">
        <x:v>http://www.meteorologiaespacial.cl/</x:v>
      </x:c>
      <x:c r="F23" t="str">
        <x:v>Custodian response + availability graphic + numerical scaled .DAT packages received/inspected 21 Sep 2026; Readiness 3</x:v>
      </x:c>
      <x:c r="G23" t="str">
        <x:v>Environmental/ionospheric scenario input. Numerical samples confirm machine-readable time series: KGI hourly 1986–1991 (1,232 files/33,960 obs; foF/hF/M(3000)F); Chillán ~15-min Dec 2020 (25 files/2,518 obs; foF/hF/hmF2/TEC). Preserve provenance/qualifiers. Do not use as direct evidence of communications latency, outage, or recovery.</x:v>
      </x:c>
      <x:c r="H23" s="190" t="n">
        <x:v>46286</x:v>
      </x:c>
    </x:row>
    <x:row r="24">
      <x:c r="A24" t="str">
        <x:v>REF-19</x:v>
      </x:c>
      <x:c r="B24" t="str">
        <x:v>Dataset / provider-confirmed data service</x:v>
      </x:c>
      <x:c r="C24" t="n">
        <x:v>2026</x:v>
      </x:c>
      <x:c r="D24" t="str">
        <x:v>Measurement Lab (M-Lab). NDT data in BigQuery; substantive provider confirmation received 22 Sep 2026.</x:v>
      </x:c>
      <x:c r="E24" t="str">
        <x:v>https://www.measurementlab.net/tests/ndt/</x:v>
      </x:c>
      <x:c r="F24" t="str">
        <x:v>Provider response + public NDT/BigQuery documentation</x:v>
      </x:c>
      <x:c r="G24" t="str">
        <x:v>Direct network-performance source. Client/server ASN filtering is supported, enabling Starlink-focused subsets. No separate M-Lab outage-labeled dataset; outage can only be inferred and missing/no tests are not downtime.</x:v>
      </x:c>
      <x:c r="H24" t="str">
        <x:v>2026-09-22</x:v>
      </x:c>
    </x:row>
    <x:row r="25">
      <x:c r="A25" t="str">
        <x:v>REF-20</x:v>
      </x:c>
      <x:c r="B25" t="str">
        <x:v>Public dataset / provider-confirmed data route</x:v>
      </x:c>
      <x:c r="C25" t="n">
        <x:v>2026</x:v>
      </x:c>
      <x:c r="D25" t="str">
        <x:v>Australian Competition and Consumer Commission (ACCC). Measuring Broadband Australia historical performance datasets on data.gov.au; provider confirmation received 23 Sep 2026.</x:v>
      </x:c>
      <x:c r="E25" t="str">
        <x:v>https://data.gov.au/</x:v>
      </x:c>
      <x:c r="F25" t="str">
        <x:v>Provider response + public historical data route; numerical Starlink release not yet inspected</x:v>
      </x:c>
      <x:c r="G25" t="str">
        <x:v>Direct COMM / validation source. Provider confirms public use requires no special conditions beyond appropriate attribution. Program concluded Jun 2026. Preserve aggregation level; do not infer outages from missing records.</x:v>
      </x:c>
      <x:c r="H25" t="str">
        <x:v>2026-09-23</x:v>
      </x:c>
    </x:row>
    <x:row r="26">
      <x:c r="A26" t="str">
        <x:v>REF-21</x:v>
      </x:c>
      <x:c r="B26" t="str">
        <x:v>Journal article / throughput model</x:v>
      </x:c>
      <x:c r="C26" t="n">
        <x:v>2025</x:v>
      </x:c>
      <x:c r="D26" t="str">
        <x:v>Garcia, Johan; Beckerle, Matthias; Sundberg, Simon; Brunström, Anna. (2025). Modeling and predicting Starlink throughput with fine-grained burst characterization. Computer Communications, 234, 108090.</x:v>
      </x:c>
      <x:c r="E26" t="str">
        <x:v>https://doi.org/10.1016/j.comcom.2025.108090</x:v>
      </x:c>
      <x:c r="F26" t="str">
        <x:v>Provider-recommended companion source in 27 Sep 2026 response; publication metadata verified.</x:v>
      </x:c>
      <x:c r="G26" t="str">
        <x:v>Supporting COMM scenario source for Starlink-like throughput variation and rate-transition behavior. Treat model output as DERIVED/SYNTHETIC scenario input, not as an observed field in the OWD dataset or as simultaneous 2022 OPS-SAT evidence.</x:v>
      </x:c>
      <x:c r="H26" t="str">
        <x:v>2026-09-28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87f0761e1cb64a9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8" hidden="0" customWidth="1"/>
    <x:col min="3" max="3" width="100" hidden="0" customWidth="1"/>
  </x:cols>
  <x:sheetData>
    <x:row r="1" ht="30" customHeight="1">
      <x:c r="A1" s="96" t="str">
        <x:v>Citation Register — 15 September 2026</x:v>
      </x:c>
      <x:c r="B1" s="96"/>
      <x:c r="C1" s="96"/>
    </x:row>
    <x:row r="2" ht="28" customHeight="1">
      <x:c r="A2" s="101" t="str">
        <x:v>Navigate the original scored library and the added references without mixing verified publications, research artifacts and search leads.</x:v>
      </x:c>
      <x:c r="B2" s="101"/>
      <x:c r="C2" s="101"/>
    </x:row>
    <x:row r="3">
      <x:c r="A3" s="101"/>
      <x:c r="B3" s="101"/>
      <x:c r="C3" s="101"/>
    </x:row>
    <x:row r="4">
      <x:c r="A4" s="93"/>
      <x:c r="B4" s="93"/>
      <x:c r="C4" s="93"/>
    </x:row>
    <x:row r="5" ht="36" customHeight="1">
      <x:c r="A5" s="110" t="str">
        <x:v>Area</x:v>
      </x:c>
      <x:c r="B5" s="110" t="str">
        <x:v>Open / location</x:v>
      </x:c>
      <x:c r="C5" s="110" t="str">
        <x:v>What it contains</x:v>
      </x:c>
    </x:row>
    <x:row r="6" ht="46" customHeight="1">
      <x:c r="A6" s="113" t="str">
        <x:v>Scored GWU research library</x:v>
      </x:c>
      <x:c r="B6" s="113" t="str">
        <x:v>Research Library</x:v>
      </x:c>
      <x:c r="C6" s="113" t="str">
        <x:v>Existing 31 distinct works. Scores, heat bands, and hybrid calculations are preserved.</x:v>
      </x:c>
    </x:row>
    <x:row r="7" ht="46" customHeight="1">
      <x:c r="A7" s="107" t="str">
        <x:v>Screenshot references</x:v>
      </x:c>
      <x:c r="B7" s="107" t="str">
        <x:v>Screenshot References</x:v>
      </x:c>
      <x:c r="C7" s="107" t="str">
        <x:v>21 exact screenshot entries: 15 candidate works + 6 journal source pools. Not automatically verified.</x:v>
      </x:c>
    </x:row>
    <x:row r="8" ht="46" customHeight="1">
      <x:c r="A8" s="113" t="str">
        <x:v>Foundational / data artifacts</x:v>
      </x:c>
      <x:c r="B8" s="113" t="str">
        <x:v>Research Artifacts</x:v>
      </x:c>
      <x:c r="C8" s="113" t="str">
        <x:v>Publications, repositories and products with traceable URLs; readiness is explicit.</x:v>
      </x:c>
    </x:row>
    <x:row r="9" ht="46" customHeight="1">
      <x:c r="A9" s="107" t="str">
        <x:v>Scoring and AIS crosswalk</x:v>
      </x:c>
      <x:c r="B9" s="107" t="str">
        <x:v>Scoring Guide</x:v>
      </x:c>
      <x:c r="C9" s="107" t="str">
        <x:v>Original method/metric/V&amp;V weights and 45/40/15 hybrid weights are unchanged.</x:v>
      </x:c>
    </x:row>
    <x:row r="10" ht="46" customHeight="1">
      <x:c r="A10" s="113" t="str">
        <x:v>Live source contact/status record</x:v>
      </x:c>
      <x:c r="B10" s="113" t="str">
        <x:v>International/domestic workbook</x:v>
      </x:c>
      <x:c r="C10" s="113" t="str">
        <x:v>Use the paired v10 registry. Old 'Intl Data Requests' in this workbook is retained as historical planning, not current outreach status.</x:v>
      </x:c>
    </x:row>
    <x:row r="11" ht="46" customHeight="1">
      <x:c r="A11" s="107" t="str">
        <x:v>Dataset versus citation</x:v>
      </x:c>
      <x:c r="B11" s="107" t="str">
        <x:v>Research Artifacts</x:v>
      </x:c>
      <x:c r="C11" s="107" t="str">
        <x:v>A reference, repository URL or email is not a downloaded dataset or completed validation.</x:v>
      </x:c>
    </x:row>
    <x:row r="12" ht="46" customHeight="1">
      <x:c r="A12" s="113" t="str">
        <x:v>Scope and OODA</x:v>
      </x:c>
      <x:c r="B12" s="113" t="str">
        <x:v>Study boundary</x:v>
      </x:c>
      <x:c r="C12" s="113" t="str">
        <x:v>DES: uptime, downtime, latency and queueing. Onboard scheduling, bounded AI/ML task management and OODA/workload remain supporting interests, not proven outcomes.</x:v>
      </x:c>
    </x:row>
    <x:row r="13" ht="46" customHeight="1">
      <x:c r="A13" s="107" t="str">
        <x:v>Change control — 15 Sep 2026</x:v>
      </x:c>
      <x:c r="B13" s="107" t="str">
        <x:v>Inputs preserved</x:v>
      </x:c>
      <x:c r="C13" s="107" t="str">
        <x:v>Updated from the user's ...Updated(2).xlsx. Original eight tabs and all original research rows retained. No automatic rescoring.</x:v>
      </x:c>
    </x:row>
    <x:row r="15">
      <x:c r="A15" s="120" t="str">
        <x:v>Measure</x:v>
      </x:c>
      <x:c r="B15" s="120" t="str">
        <x:v>Count</x:v>
      </x:c>
      <x:c r="C15" s="120" t="str">
        <x:v>Meaning</x:v>
      </x:c>
    </x:row>
    <x:row r="16" ht="34" customHeight="1">
      <x:c r="A16" s="123" t="str">
        <x:v>Existing GWU works</x:v>
      </x:c>
      <x:c r="B16" s="123" t="n">
        <x:f>COUNTA('Research Library'!A5:A35)</x:f>
        <x:v>31</x:v>
      </x:c>
      <x:c r="C16" s="123" t="str">
        <x:v>Registered, not a claim that every source was read.</x:v>
      </x:c>
    </x:row>
    <x:row r="17" ht="34" customHeight="1">
      <x:c r="A17" s="123" t="str">
        <x:v>Screenshot candidate works</x:v>
      </x:c>
      <x:c r="B17" s="123" t="n">
        <x:f>COUNTIF('Screenshot References'!D6:D26,"Candidate work")</x:f>
        <x:v>15</x:v>
      </x:c>
      <x:c r="C17" s="123" t="str">
        <x:v>Not verified citations or added to scored reading count.</x:v>
      </x:c>
    </x:row>
    <x:row r="18" ht="34" customHeight="1">
      <x:c r="A18" s="123" t="str">
        <x:v>Screenshot journal pools</x:v>
      </x:c>
      <x:c r="B18" s="123" t="n">
        <x:f>COUNTIF('Screenshot References'!D6:D26,"Journal source pool")</x:f>
        <x:v>6</x:v>
      </x:c>
      <x:c r="C18" s="123" t="str">
        <x:v>Venues to search, not individual articles.</x:v>
      </x:c>
    </x:row>
    <x:row r="19" ht="34" customHeight="1">
      <x:c r="A19" s="123" t="str">
        <x:v>Research artifact entries</x:v>
      </x:c>
      <x:c r="B19" s="123" t="n">
        <x:f>COUNTA('Research Artifacts'!A6:A22)</x:f>
        <x:v>17</x:v>
      </x:c>
      <x:c r="C19" s="123" t="str">
        <x:v>Includes reports, products and repositories; do not add to publication totals.</x:v>
      </x:c>
    </x:row>
    <x:row r="21">
      <x:c r="A21" t="str">
        <x:v>NEW: Verification Guide / URL Audit / Verified Additions — 15 Sep data-access checks.</x:v>
      </x:c>
    </x:row>
    <x:row r="22">
      <x:c r="A22" t="str">
        <x:v>NCEI follow-up</x:v>
      </x:c>
      <x:c r="B22" t="str">
        <x:v>Verified product references</x:v>
      </x:c>
      <x:c r="C22" t="str">
        <x:v>EXIS/GloTEC/Mirrion/Event Reports/SGAS are environmental/event sources; none is direct latency/uptime evidence.</x:v>
      </x:c>
    </x:row>
    <x:row r="23">
      <x:c r="A23" t="str">
        <x:v>Companion data register</x:v>
      </x:c>
      <x:c r="B23" t="str">
        <x:v>Current empirical readiness</x:v>
      </x:c>
      <x:c r="C23" t="str">
        <x:v>International_Domestic_Research_Data_Register_2026-09-15_v12_NCEI_Followup.xlsx</x:v>
      </x:c>
    </x:row>
  </x:sheetData>
  <x:mergeCells>
    <x:mergeCell ref="A1:C1"/>
    <x:mergeCell ref="A2:C3"/>
    <x:mergeCell ref="A21:C21"/>
  </x:mergeCells>
  <x:pageMargins left="0.7" right="0.7" top="0.75" bottom="0.75" header="0.3" footer="0.3"/>
  <x:tableParts count="1">
    <x:tablePart xmlns:r="http://schemas.openxmlformats.org/officeDocument/2006/relationships" r:id="R00c3b00d4eb7414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66" hidden="0" customWidth="1"/>
    <x:col min="4" max="4" width="97" hidden="0" customWidth="1"/>
  </x:cols>
  <x:sheetData>
    <x:row r="1" ht="30" customHeight="1">
      <x:c r="A1" s="96" t="str">
        <x:v>Citation Workbook Update Audit</x:v>
      </x:c>
      <x:c r="B1" s="96"/>
      <x:c r="C1" s="96"/>
      <x:c r="D1" s="96"/>
    </x:row>
    <x:row r="2" ht="28" customHeight="1">
      <x:c r="A2" s="101" t="str">
        <x:v>15 Sep 2026 • Source fidelity and preservation of the user's existing curated scores.</x:v>
      </x:c>
      <x:c r="B2" s="101"/>
      <x:c r="C2" s="101"/>
      <x:c r="D2" s="101"/>
    </x:row>
    <x:row r="3">
      <x:c r="A3" s="101"/>
      <x:c r="B3" s="101"/>
      <x:c r="C3" s="101"/>
      <x:c r="D3" s="101"/>
    </x:row>
    <x:row r="4">
      <x:c r="A4" s="93"/>
      <x:c r="B4" s="93"/>
      <x:c r="C4" s="93"/>
      <x:c r="D4" s="93"/>
    </x:row>
    <x:row r="5" ht="36" customHeight="1">
      <x:c r="A5" s="110" t="str">
        <x:v>Date</x:v>
      </x:c>
      <x:c r="B5" s="110" t="str">
        <x:v>Area</x:v>
      </x:c>
      <x:c r="C5" s="110" t="str">
        <x:v>Basis</x:v>
      </x:c>
      <x:c r="D5" s="110" t="str">
        <x:v>Change / boundary</x:v>
      </x:c>
    </x:row>
    <x:row r="6" ht="72" customHeight="1">
      <x:c r="A6" s="115" t="n">
        <x:v>46280</x:v>
      </x:c>
      <x:c r="B6" s="113" t="str">
        <x:v>Baseline</x:v>
      </x:c>
      <x:c r="C6" s="113" t="str">
        <x:v>GWU_Praxis_AIS_Master_Register_2026-09-13_Updated(2).xlsx</x:v>
      </x:c>
      <x:c r="D6" s="113" t="str">
        <x:v>Original eight worksheets retained; Research Library subtitle points to supplements.</x:v>
      </x:c>
    </x:row>
    <x:row r="7" ht="72" customHeight="1">
      <x:c r="A7" s="116" t="n">
        <x:v>46280</x:v>
      </x:c>
      <x:c r="B7" s="107" t="str">
        <x:v>Screenshot</x:v>
      </x:c>
      <x:c r="C7" s="107" t="str">
        <x:v>AAA References ALSO JIDE Screenshot 2026-09-14 201717.png</x:v>
      </x:c>
      <x:c r="D7" s="107" t="str">
        <x:v>21 supplied entries copied without silently changing author/title/year. Six are source-pool journal names.</x:v>
      </x:c>
    </x:row>
    <x:row r="8" ht="72" customHeight="1">
      <x:c r="A8" s="115" t="n">
        <x:v>46280</x:v>
      </x:c>
      <x:c r="B8" s="113" t="str">
        <x:v>Research Artifacts</x:v>
      </x:c>
      <x:c r="C8" s="113" t="str">
        <x:v>Existing final submission + prior registry + selected public pages</x:v>
      </x:c>
      <x:c r="D8" s="113" t="str">
        <x:v>17 typed source records with locators/readiness; not additional scored Praxis readings.</x:v>
      </x:c>
    </x:row>
    <x:row r="9" ht="72" customHeight="1">
      <x:c r="A9" s="116" t="n">
        <x:v>46280</x:v>
      </x:c>
      <x:c r="B9" s="107" t="str">
        <x:v>Scoring</x:v>
      </x:c>
      <x:c r="C9" s="107" t="str">
        <x:v>Research Library and hybrid tabs</x:v>
      </x:c>
      <x:c r="D9" s="107" t="str">
        <x:v>All existing research inputs, scores and formulas preserved. No new numeric relevance ratings invented.</x:v>
      </x:c>
    </x:row>
    <x:row r="10" ht="72" customHeight="1">
      <x:c r="A10" s="115" t="n">
        <x:v>46280</x:v>
      </x:c>
      <x:c r="B10" s="113" t="str">
        <x:v>Paired data registry</x:v>
      </x:c>
      <x:c r="C10" s="113" t="str">
        <x:v>International_Domestic_Research_Data_Register_2026-09-15_v10.xlsx</x:v>
      </x:c>
      <x:c r="D10" s="113" t="str">
        <x:v>Use v10 for current domestic/international contacts, access, sampling and statuses.</x:v>
      </x:c>
    </x:row>
    <x:row r="11" ht="64" customHeight="1">
      <x:c r="A11" s="183" t="str">
        <x:v>2026-09-15</x:v>
      </x:c>
      <x:c r="B11" s="183" t="str">
        <x:v>NCEI / AI references</x:v>
      </x:c>
      <x:c r="C11" s="183" t="str">
        <x:v>13 new metadata/product references</x:v>
      </x:c>
      <x:c r="D11" s="183" t="str">
        <x:v>Original 31 entries and scores retained. New source metadata does not mean observed values validated.</x:v>
      </x:c>
    </x:row>
    <x:row r="12" ht="64" customHeight="1">
      <x:c r="A12" s="183" t="str">
        <x:v>2026-09-15</x:v>
      </x:c>
      <x:c r="B12" s="183" t="str">
        <x:v>URL access checks</x:v>
      </x:c>
      <x:c r="C12" s="183" t="str">
        <x:v>76 locators inventoried</x:v>
      </x:c>
      <x:c r="D12" s="183" t="str">
        <x:v>All exact source links retained; tested versus pending explicitly labeled.</x:v>
      </x:c>
    </x:row>
    <x:row r="13" ht="64" customHeight="1">
      <x:c r="A13" s="183" t="str">
        <x:v>2026-09-15</x:v>
      </x:c>
      <x:c r="B13" s="183" t="str">
        <x:v>Companion registry</x:v>
      </x:c>
      <x:c r="C13" s="183" t="str">
        <x:v>International_Domestic_Research_Data_Register_2026-09-15_v11_Verified.xlsx</x:v>
      </x:c>
      <x:c r="D13" s="183" t="str">
        <x:v>Use Usability Guide and Field Verification for current data readiness.</x:v>
      </x:c>
    </x:row>
    <x:row r="14">
      <x:c r="A14" t="str">
        <x:v>2026-09-15</x:v>
      </x:c>
      <x:c r="B14" t="str">
        <x:v>NCEI second response</x:v>
      </x:c>
      <x:c r="C14" t="str">
        <x:v>Josh Riley product recommendations</x:v>
      </x:c>
      <x:c r="D14" t="str">
        <x:v>Added GloTEC, Mirrion 2, Space Weather Event Reports and SGAS as verified product references; no direct network-data claim.</x:v>
      </x:c>
    </x:row>
    <x:row r="15">
      <x:c r="A15" t="str">
        <x:v>2026-09-15</x:v>
      </x:c>
      <x:c r="B15" t="str">
        <x:v>Companion registry</x:v>
      </x:c>
      <x:c r="C15" t="str">
        <x:v>International_Domestic_Research_Data_Register_2026-09-15_v12_NCEI_Followup.xlsx</x:v>
      </x:c>
      <x:c r="D15" t="str">
        <x:v>Use Field Verification / Data Triage / Link Checks for current empirical readiness.</x:v>
      </x:c>
    </x:row>
    <x:row r="16">
      <x:c r="A16" s="190" t="n">
        <x:v>46286</x:v>
      </x:c>
      <x:c r="B16" t="str">
        <x:v>Chile / CINC environmental source — numerical data received</x:v>
      </x:c>
      <x:c r="C16" t="str">
        <x:v>Dr. Manuel Alejandro Bravo Sepúlveda delivered KGI and Chillán scaled .DAT packages; samples inspected</x:v>
      </x:c>
      <x:c r="D16" t="str">
        <x:v>Promoted CINC to Readiness 3. KGI: 1,232 daily files / 33,960 observations / typically hourly (1986–1991), strong foF/hF/M(3000)F. Chillán: 25 daily files / 2,518 observations / ~15-minute cadence (Dec 2020), populated foF/hF/hmF2/TEC. Preserve sensor/cadence/qualifier provenance; environmental scenario input only.</x:v>
      </x:c>
    </x:row>
    <x:row r="17">
      <x:c r="A17" t="str">
        <x:v>2026-09-22</x:v>
      </x:c>
      <x:c r="B17" t="str">
        <x:v>Measurement Lab / NDT</x:v>
      </x:c>
      <x:c r="C17" t="str">
        <x:v>Substantive provider reply from Nathan, Measurement Lab</x:v>
      </x:c>
      <x:c r="D17" t="str">
        <x:v>Confirmed NDT/BigQuery as the applicable M-Lab network dataset; server/client ASN filtering supported. Registered as a scalable direct-network source for a Starlink AS14593 extract. No direct outage labels; no-test/missing tests cannot be treated as outage. Readiness remains 2 pending numeric sample.</x:v>
      </x:c>
    </x:row>
    <x:row r="18">
      <x:c r="A18" t="str">
        <x:v>2026-09-22</x:v>
      </x:c>
      <x:c r="B18" t="str">
        <x:v>Argentina / Patagonia — Costanzo response</x:v>
      </x:c>
      <x:c r="C18" t="str">
        <x:v>Substantive reply from Dr. Pablo Costanzo Caso</x:v>
      </x:c>
      <x:c r="D18" t="str">
        <x:v>Recorded that requested data are not currently available. Historical VHF/UHF ground station operated &gt;3 years but was dismantled due lack of funding. Future funded collaboration/new measurement campaign offered. Added as a collaboration lead, not as a current dataset or numerical source.</x:v>
      </x:c>
    </x:row>
    <x:row r="19">
      <x:c r="A19" t="str">
        <x:v>2026-09-23</x:v>
      </x:c>
      <x:c r="B19" t="str">
        <x:v>Finland / University of Oulu — Saarnisaari response</x:v>
      </x:c>
      <x:c r="C19" t="str">
        <x:v>Substantive provider reply from Harri Saarnisaari</x:v>
      </x:c>
      <x:c r="D19" t="str">
        <x:v>Closed Finland data-acquisition lead: provider confirms historical Starlink measurement data are no longer available and were not saved. Retain publication as literature/context only; no empirical DES sample can be obtained from this source.</x:v>
      </x:c>
    </x:row>
    <x:row r="20">
      <x:c r="A20" t="str">
        <x:v>2026-09-28</x:v>
      </x:c>
      <x:c r="B20" t="str">
        <x:v>Sweden / Karlstad — Garcia response</x:v>
      </x:c>
      <x:c r="C20" t="str">
        <x:v>Provider email received 27 Sep 2026 + verified dataset/paper metadata</x:v>
      </x:c>
      <x:c r="D20" t="str">
        <x:v>Promoted Karlstad OWD lead to confirmed COMM calibration source; clarified direct UL/DL OWD, derived RTT, sequence-number caveat, reconfiguration/tail use, and no special reuse conditions. Added provider-recommended 2025 throughput-model companion. Current role remains COMM-only; not synchronized to the Jan 2022 OPS-SAT ACE event.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5d7d4e27a25e44b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3" hidden="0" customWidth="1"/>
    <x:col min="3" max="3" width="22" hidden="0" customWidth="1"/>
    <x:col min="4" max="4" width="52" hidden="0" customWidth="1"/>
    <x:col min="5" max="5" width="30" hidden="0" customWidth="1"/>
    <x:col min="6" max="6" width="54" hidden="0" customWidth="1"/>
    <x:col min="7" max="7" width="65" hidden="0" customWidth="1"/>
  </x:cols>
  <x:sheetData>
    <x:row r="1" ht="30" customHeight="1">
      <x:c r="A1" s="171" t="str">
        <x:v>VERIFIED ADDITIONS | Product documentation and AI methods</x:v>
      </x:c>
      <x:c r="B1" s="171"/>
      <x:c r="C1" s="171"/>
      <x:c r="D1" s="171"/>
      <x:c r="E1" s="171"/>
      <x:c r="F1" s="171"/>
      <x:c r="G1" s="171"/>
    </x:row>
    <x:row r="2" ht="42" customHeight="1">
      <x:c r="A2" s="174" t="str">
        <x:v>15 Sep 2026 · Bibliographic/product records supported by sources reached in this pass. These do not alter the 31-source research ranking. 'Verified' here identifies metadata, not validated empirical findings.</x:v>
      </x:c>
      <x:c r="B2" s="174"/>
      <x:c r="C2" s="174"/>
      <x:c r="D2" s="174"/>
      <x:c r="E2" s="174"/>
      <x:c r="F2" s="174"/>
      <x:c r="G2" s="174"/>
    </x:row>
    <x:row r="4" ht="30" customHeight="1">
      <x:c r="A4" s="176" t="str">
        <x:v>ID</x:v>
      </x:c>
      <x:c r="B4" s="176" t="str">
        <x:v>Author / institution</x:v>
      </x:c>
      <x:c r="C4" s="176" t="str">
        <x:v>Date / version</x:v>
      </x:c>
      <x:c r="D4" s="176" t="str">
        <x:v>Title</x:v>
      </x:c>
      <x:c r="E4" s="176" t="str">
        <x:v>Research role</x:v>
      </x:c>
      <x:c r="F4" s="176" t="str">
        <x:v>Source locator</x:v>
      </x:c>
      <x:c r="G4" s="176" t="str">
        <x:v>Verification boundary</x:v>
      </x:c>
    </x:row>
    <x:row r="5" ht="98" customHeight="1">
      <x:c r="A5" s="179" t="str">
        <x:v>V-01</x:v>
      </x:c>
      <x:c r="B5" s="179" t="str">
        <x:v>NOAA National Centers for Environmental Information</x:v>
      </x:c>
      <x:c r="C5" s="179" t="str">
        <x:v>n.d.</x:v>
      </x:c>
      <x:c r="D5" s="179" t="str">
        <x:v>Space Weather Products Inventory</x:v>
      </x:c>
      <x:c r="E5" s="179" t="str">
        <x:v>Catalog / coverage metadata</x:v>
      </x:c>
      <x:c r="F5" s="179" t="str">
        <x:v>https://www.ncei.noaa.gov/sites/default/files/2025-08/NCEI_Space_Weather_Products.pdf</x:v>
      </x:c>
      <x:c r="G5" s="179" t="str">
        <x:v>Inventory PDF inspected as documentation; not a raw dataset or guarantee of complete coverage.</x:v>
      </x:c>
    </x:row>
    <x:row r="6" ht="98" customHeight="1">
      <x:c r="A6" s="180" t="str">
        <x:v>V-02</x:v>
      </x:c>
      <x:c r="B6" s="180" t="str">
        <x:v>NOAA National Centers for Environmental Information</x:v>
      </x:c>
      <x:c r="C6" s="180" t="str">
        <x:v>n.d.</x:v>
      </x:c>
      <x:c r="D6" s="180" t="str">
        <x:v>GOES-R Extreme Ultraviolet and X-ray Irradiance Sensors (EXIS)</x:v>
      </x:c>
      <x:c r="E6" s="180" t="str">
        <x:v>Environmental dataset documentation</x:v>
      </x:c>
      <x:c r="F6" s="180" t="str">
        <x:v>https://www.ncei.noaa.gov/products/goes-r-extreme-ultraviolet-xray-irradiance</x:v>
      </x:c>
      <x:c r="G6" s="180" t="str">
        <x:v>Official L1b/L2 products, NetCDF, flare CSV and example-code links; specific numerical samples still pending.</x:v>
      </x:c>
    </x:row>
    <x:row r="7" ht="98" customHeight="1">
      <x:c r="A7" s="179" t="str">
        <x:v>V-03</x:v>
      </x:c>
      <x:c r="B7" s="179" t="str">
        <x:v>Lucas, E., &amp; Machol, J.</x:v>
      </x:c>
      <x:c r="C7" s="179" t="str">
        <x:v>2026-06-10</x:v>
      </x:c>
      <x:c r="D7" s="179" t="str">
        <x:v>GOES Flare Report ReadMe</x:v>
      </x:c>
      <x:c r="E7" s="179" t="str">
        <x:v>Data dictionary / methods</x:v>
      </x:c>
      <x:c r="F7" s="179" t="str">
        <x:v>https://data.ngdc.noaa.gov/platforms/solar-space-observing-satellites/goes/goes16/l2/docs/GOES_Flare_Report_ReadMe.pdf</x:v>
      </x:c>
      <x:c r="G7" s="179" t="str">
        <x:v>Field table inspected, including UTC, one-record-per-flare logic and CSV blanks. Do not equate flare end with network recovery.</x:v>
      </x:c>
    </x:row>
    <x:row r="8" ht="98" customHeight="1">
      <x:c r="A8" s="180" t="str">
        <x:v>V-04</x:v>
      </x:c>
      <x:c r="B8" s="180" t="str">
        <x:v>NOAA NCEI STP Solar Irradiance Team</x:v>
      </x:c>
      <x:c r="C8" s="180" t="str">
        <x:v>2026; version1-0-1</x:v>
      </x:c>
      <x:c r="D8" s="180" t="str">
        <x:v>L2 XRS flare report — metadata and yearly CSV access</x:v>
      </x:c>
      <x:c r="E8" s="180" t="str">
        <x:v>Machine-readable environmental schema</x:v>
      </x:c>
      <x:c r="F8" s="180" t="str">
        <x:v>https://data.ngdc.noaa.gov/platforms/solar-space-observing-satellites/goes/multi/l2/data/xrsf-l2-flrpt_science/csv/sci_xrsf-l2-flrpt_geo_metadata.json</x:v>
      </x:c>
      <x:c r="G8" s="180" t="str">
        <x:v>JSON read. Metadata says unrestricted use/redistribution; source-specific citation still record file version and retrieval date. CSV numerical observations not inspected.</x:v>
      </x:c>
    </x:row>
    <x:row r="9" ht="98" customHeight="1">
      <x:c r="A9" s="179" t="str">
        <x:v>V-05</x:v>
      </x:c>
      <x:c r="B9" s="179" t="str">
        <x:v>NOAA National Centers for Environmental Information</x:v>
      </x:c>
      <x:c r="C9" s="179" t="str">
        <x:v>n.d.</x:v>
      </x:c>
      <x:c r="D9" s="179" t="str">
        <x:v>DMSP Special Sensor for Ion and Electron Scintillation (SSIES)</x:v>
      </x:c>
      <x:c r="E9" s="179" t="str">
        <x:v>Historical environmental product</x:v>
      </x:c>
      <x:c r="F9" s="179" t="str">
        <x:v>https://www.ncei.noaa.gov/products/dmsp-ion-electron-scintillation</x:v>
      </x:c>
      <x:c r="G9" s="179" t="str">
        <x:v>June1987–May2024 with gaps; actual variable list must be read from selected file. Not latency or service availability.</x:v>
      </x:c>
    </x:row>
    <x:row r="10" ht="98" customHeight="1">
      <x:c r="A10" s="180" t="str">
        <x:v>V-06</x:v>
      </x:c>
      <x:c r="B10" s="180" t="str">
        <x:v>NOAA NESDIS</x:v>
      </x:c>
      <x:c r="C10" s="180" t="str">
        <x:v>2025-06-27; subsequently updated</x:v>
      </x:c>
      <x:c r="D10" s="180" t="str">
        <x:v>DMSP Space Weather products</x:v>
      </x:c>
      <x:c r="E10" s="180" t="str">
        <x:v>Distribution / archive status notice</x:v>
      </x:c>
      <x:c r="F10" s="180" t="str">
        <x:v>https://www.nesdis.noaa.gov/about/documents-reports/notice-of-changes/2025-notice-of-changes/dmsp-space-weather-products</x:v>
      </x:c>
      <x:c r="G10" s="180" t="str">
        <x:v>Notice suspends new space-weather distribution while historical holdings remain; do not assume weekly new DMSP data.</x:v>
      </x:c>
    </x:row>
    <x:row r="11" ht="98" customHeight="1">
      <x:c r="A11" s="179" t="str">
        <x:v>V-07</x:v>
      </x:c>
      <x:c r="B11" s="179" t="str">
        <x:v>NOAA National Centers for Environmental Information</x:v>
      </x:c>
      <x:c r="C11" s="179" t="str">
        <x:v>n.d.</x:v>
      </x:c>
      <x:c r="D11" s="179" t="str">
        <x:v>GOES-R Magnetometer (MAG)</x:v>
      </x:c>
      <x:c r="E11" s="179" t="str">
        <x:v>Environmental product / coordinates</x:v>
      </x:c>
      <x:c r="F11" s="179" t="str">
        <x:v>https://www.ncei.noaa.gov/products/goes-r-magnetometer</x:v>
      </x:c>
      <x:c r="G11" s="179" t="str">
        <x:v>Field vectors, multiple coordinate frames, L1b full resolution and averaged products.</x:v>
      </x:c>
    </x:row>
    <x:row r="12" ht="98" customHeight="1">
      <x:c r="A12" s="180" t="str">
        <x:v>V-08</x:v>
      </x:c>
      <x:c r="B12" s="180" t="str">
        <x:v>NOAA National Centers for Environmental Information</x:v>
      </x:c>
      <x:c r="C12" s="180" t="str">
        <x:v>n.d.</x:v>
      </x:c>
      <x:c r="D12" s="180" t="str">
        <x:v>Deep Space Climate Observatory (DSCOVR)</x:v>
      </x:c>
      <x:c r="E12" s="180" t="str">
        <x:v>Solar-wind data documentation</x:v>
      </x:c>
      <x:c r="F12" s="180" t="str">
        <x:v>https://www.ncei.noaa.gov/products/deep-space-climate-observatory-dscovr</x:v>
      </x:c>
      <x:c r="G12" s="180" t="str">
        <x:v>Plasma and magnetic fields plus telemetry-labelled routes. Engineering link metrics not established. Actual end-date/current operation not tested.</x:v>
      </x:c>
    </x:row>
    <x:row r="13" ht="98" customHeight="1">
      <x:c r="A13" s="179" t="str">
        <x:v>V-09</x:v>
      </x:c>
      <x:c r="B13" s="179" t="str">
        <x:v>NOAA National Centers for Environmental Information</x:v>
      </x:c>
      <x:c r="C13" s="179" t="str">
        <x:v>n.d.</x:v>
      </x:c>
      <x:c r="D13" s="179" t="str">
        <x:v>Space Weather Satellite Anomalies</x:v>
      </x:c>
      <x:c r="E13" s="179" t="str">
        <x:v>Incident / fault context</x:v>
      </x:c>
      <x:c r="F13" s="179" t="str">
        <x:v>https://www.ncei.noaa.gov/products/satellite-anomalies</x:v>
      </x:c>
      <x:c r="G13" s="179" t="str">
        <x:v>Includes downloadable incident spreadsheets; no complete service-time denominator demonstrated.</x:v>
      </x:c>
    </x:row>
    <x:row r="14" ht="98" customHeight="1">
      <x:c r="A14" s="180" t="str">
        <x:v>V-10</x:v>
      </x:c>
      <x:c r="B14" s="180" t="str">
        <x:v>NASA Jet Propulsion Laboratory, Artificial Intelligence Group</x:v>
      </x:c>
      <x:c r="C14" s="180" t="str">
        <x:v>n.d.</x:v>
      </x:c>
      <x:c r="D14" s="180" t="str">
        <x:v>Autonomous Sciencecraft Experiment</x:v>
      </x:c>
      <x:c r="E14" s="180" t="str">
        <x:v>Historical onboard AI / planning reference</x:v>
      </x:c>
      <x:c r="F14" s="180" t="str">
        <x:v>https://ai.jpl.nasa.gov/public/projects/ase/</x:v>
      </x:c>
      <x:c r="G14" s="180" t="str">
        <x:v>Flight onboard analysis/planning/execution and prioritized downlink described; raw task/inference/ground-intervention datasets not supplied.</x:v>
      </x:c>
    </x:row>
    <x:row r="15" ht="98" customHeight="1">
      <x:c r="A15" s="179" t="str">
        <x:v>V-11</x:v>
      </x:c>
      <x:c r="B15" s="179" t="str">
        <x:v>Wang, T.; Ma, Y.; Li, Y.; Zhao, J.; Pan, J.</x:v>
      </x:c>
      <x:c r="C15" s="179" t="str">
        <x:v>2026</x:v>
      </x:c>
      <x:c r="D15" s="179" t="str">
        <x:v>Adaptive FEC with Deep Recurrent Q-Networks for Low-Earth Orbit Satellite Networks</x:v>
      </x:c>
      <x:c r="E15" s="179" t="str">
        <x:v>Trace-driven ML / FEC method</x:v>
      </x:c>
      <x:c r="F15" s="179" t="str">
        <x:v>https://doi.org/10.1109/WCNCW67598.2026.11555547</x:v>
      </x:c>
      <x:c r="G15" s="179" t="str">
        <x:v>Author/institution page verifies metadata and Starlink-trace emulation. Direct DOI not fetched; no orbital flight deployment claimed. Evidence: https://onlineacademiccommunity.uvic.ca/starlink/</x:v>
      </x:c>
    </x:row>
    <x:row r="16" ht="98" customHeight="1">
      <x:c r="A16" s="180" t="str">
        <x:v>V-12</x:v>
      </x:c>
      <x:c r="B16" s="180" t="str">
        <x:v>Li, D.; Zhao, J.; Pan, J.</x:v>
      </x:c>
      <x:c r="C16" s="180" t="str">
        <x:v>2025</x:v>
      </x:c>
      <x:c r="D16" s="180" t="str">
        <x:v>FTRL-WRR: Learning-Based Two-Path Scheduler for LEO Networks</x:v>
      </x:c>
      <x:c r="E16" s="180" t="str">
        <x:v>Learning-based scheduler method</x:v>
      </x:c>
      <x:c r="F16" s="180" t="str">
        <x:v>https://doi.org/10.1109/CCNC54725.2025.10976084</x:v>
      </x:c>
      <x:c r="G16" s="180" t="str">
        <x:v>Metadata on official PanLab page; emulation/transport scheduling rather than verified onboard deployment. DOI/file not tested. Evidence: https://onlineacademiccommunity.uvic.ca/starlink/</x:v>
      </x:c>
    </x:row>
    <x:row r="17" ht="98" customHeight="1">
      <x:c r="A17" s="179" t="str">
        <x:v>V-13</x:v>
      </x:c>
      <x:c r="B17" s="179" t="str">
        <x:v>CIRES STP / NOAA-linked example code</x:v>
      </x:c>
      <x:c r="C17" s="179" t="str">
        <x:v>n.d.</x:v>
      </x:c>
      <x:c r="D17" s="179" t="str">
        <x:v>goesr-spwx-examples</x:v>
      </x:c>
      <x:c r="E17" s="179" t="str">
        <x:v>Data-import software documentation</x:v>
      </x:c>
      <x:c r="F17" s="179" t="str">
        <x:v>https://cires-stp.github.io/goesr-spwx-examples/</x:v>
      </x:c>
      <x:c r="G17" s="179" t="str">
        <x:v>Official EXIS product page links examples for reading/downloading; code not executed in this verification.</x:v>
      </x:c>
    </x:row>
    <x:row r="18">
      <x:c r="A18" s="123" t="str">
        <x:v>V-14</x:v>
      </x:c>
      <x:c r="B18" s="123" t="str">
        <x:v>NOAA National Centers for Environmental Information</x:v>
      </x:c>
      <x:c r="C18" s="123" t="str">
        <x:v>n.d.</x:v>
      </x:c>
      <x:c r="D18" s="123" t="str">
        <x:v>Total Electron Content (US-TEC and GloTEC)</x:v>
      </x:c>
      <x:c r="E18" s="123" t="str">
        <x:v>Ionospheric environmental dataset documentation</x:v>
      </x:c>
      <x:c r="F18" s="123" t="str">
        <x:v>https://www.ncei.noaa.gov/products/space-weather/ionospheric-program/total-electron-content</x:v>
      </x:c>
      <x:c r="G18" s="123" t="str">
        <x:v>Official page verifies US-TEC 2004–2023 and GloTEC Feb2025–present; dynamic download portal reached, no numerical file parsed.</x:v>
      </x:c>
    </x:row>
    <x:row r="19">
      <x:c r="A19" s="123" t="str">
        <x:v>V-15</x:v>
      </x:c>
      <x:c r="B19" s="123" t="str">
        <x:v>NOAA National Centers for Environmental Information</x:v>
      </x:c>
      <x:c r="C19" s="123" t="str">
        <x:v>n.d.</x:v>
      </x:c>
      <x:c r="D19" s="123" t="str">
        <x:v>Mirrion 2: Real Time Ionosonde Data Mirror</x:v>
      </x:c>
      <x:c r="E19" s="123" t="str">
        <x:v>Ionosonde archive / environmental context</x:v>
      </x:c>
      <x:c r="F19" s="123" t="str">
        <x:v>https://www.ncei.noaa.gov/products/space-weather/legacy-data/mirrion-2-real-time-ionosonde</x:v>
      </x:c>
      <x:c r="G19" s="123" t="str">
        <x:v>Main page verifies public worldwide ionosonde soundings and MIDS. 'Latency monitor' is processing/data-delivery timeliness, not satellite-link latency; some legacy child links are stale.</x:v>
      </x:c>
    </x:row>
    <x:row r="20">
      <x:c r="A20" s="123" t="str">
        <x:v>V-16</x:v>
      </x:c>
      <x:c r="B20" s="123" t="str">
        <x:v>NOAA NCEI / Space Weather Prediction Center</x:v>
      </x:c>
      <x:c r="C20" s="123" t="str">
        <x:v>2011–present archive</x:v>
      </x:c>
      <x:c r="D20" s="123" t="str">
        <x:v>Space Weather Event Reports</x:v>
      </x:c>
      <x:c r="E20" s="123" t="str">
        <x:v>Timestamped event archive / event-window selection</x:v>
      </x:c>
      <x:c r="F20" s="123" t="str">
        <x:v>https://www.ngdc.noaa.gov/stp/space-weather/swpc-products/daily_reports/space_weather_event_reports/</x:v>
      </x:c>
      <x:c r="G20" s="123" t="str">
        <x:v>Archive directory verified by year through 2026. Useful for environmental event timing; no direct service-outage measurement.</x:v>
      </x:c>
    </x:row>
    <x:row r="21">
      <x:c r="A21" s="123" t="str">
        <x:v>V-17</x:v>
      </x:c>
      <x:c r="B21" s="123" t="str">
        <x:v>NOAA / NWS Space Weather Prediction Center</x:v>
      </x:c>
      <x:c r="C21" s="123" t="str">
        <x:v>daily product</x:v>
      </x:c>
      <x:c r="D21" s="123" t="str">
        <x:v>Solar and Geophysical Activity Summary (SGAS)</x:v>
      </x:c>
      <x:c r="E21" s="123" t="str">
        <x:v>Daily event summary / corroboration</x:v>
      </x:c>
      <x:c r="F21" s="123" t="str">
        <x:v>https://www.spaceweather.gov/products/solar-and-geophysical-activity-summary</x:v>
      </x:c>
      <x:c r="G21" s="123" t="str">
        <x:v>Official page states daily summary of significant solar/geophysical events and indices, with current/previous text files available. Not network-performance evidence.</x:v>
      </x:c>
    </x:row>
    <x:row r="22">
      <x:c r="A22" t="str">
        <x:v>V-18</x:v>
      </x:c>
      <x:c r="B22" t="str">
        <x:v>Universidad Adventista de Chile — CINC / Manuel Alejandro Bravo Sepúlveda</x:v>
      </x:c>
      <x:c r="C22" t="str">
        <x:v>2026-09-21</x:v>
      </x:c>
      <x:c r="D22" t="str">
        <x:v>CINC ionosonde archive availability and station coverage</x:v>
      </x:c>
      <x:c r="E22" t="str">
        <x:v>Environmental dataset / Southern Hemisphere and Antarctic ionospheric context</x:v>
      </x:c>
      <x:c r="F22" t="str">
        <x:v>http://www.meteorologiaespacial.cl/</x:v>
      </x:c>
      <x:c r="G22" t="str">
        <x:v>Custodian confirms archive and delivered numerical scaled .DAT packages on 21 Sep 2026. Inspection: KGI sample has 1,232 daily files (1986-03-01–1991-12-31), 33,960 observations, typically hourly, with strong foF/hF/M(3000)F coverage; Chillán sample has 25 daily files (2020-12-04–2020-12-31), 2,518 observations, typically 15-minute cadence, including populated foF/hF/hmF2/TEC. Files are machine-readable and include field/qualifier definitions. Readiness 3; environmental evidence only, not network-performance evidence.</x:v>
      </x:c>
    </x:row>
    <x:row r="23">
      <x:c r="A23" t="str">
        <x:v>V-19</x:v>
      </x:c>
      <x:c r="B23" t="str">
        <x:v>Measurement Lab (M-Lab) / Nathan, support response</x:v>
      </x:c>
      <x:c r="C23" t="str">
        <x:v>2026-09-22</x:v>
      </x:c>
      <x:c r="D23" t="str">
        <x:v>NDT data in BigQuery — provider-confirmed route and ASN filtering</x:v>
      </x:c>
      <x:c r="E23" t="str">
        <x:v>Direct network dataset / scalable COMM input source</x:v>
      </x:c>
      <x:c r="F23" t="str">
        <x:v>https://www.measurementlab.net/tests/ndt/</x:v>
      </x:c>
      <x:c r="G23" t="str">
        <x:v>Provider confirms NDT contains the requested network-performance information and client/server ASNs for filtering. BigQuery quickstart: https://www.measurementlab.net/data/docs/bq/quickstart/. No separate outage-labeled M-Lab dataset; outage inference must remain explicitly derived. Readiness 2 until numerical sample inspection.</x:v>
      </x:c>
    </x:row>
    <x:row r="24">
      <x:c r="A24" t="str">
        <x:v>V-20</x:v>
      </x:c>
      <x:c r="B24" t="str">
        <x:v>Instituto Balseiro / CNEA — Dr. Pablo Costanzo Caso</x:v>
      </x:c>
      <x:c r="C24" t="str">
        <x:v>2026-09-22</x:v>
      </x:c>
      <x:c r="D24" t="str">
        <x:v>Provider response / Patagonia VHF-UHF ground-station collaboration lead</x:v>
      </x:c>
      <x:c r="E24" t="str">
        <x:v>Future direct communications measurement opportunity; no existing dataset</x:v>
      </x:c>
      <x:c r="F24"/>
      <x:c r="G24" t="str">
        <x:v>Provider states requested data are not available. Their VHF/UHF station operated for more than 3 years but was dismantled because of funding constraints. They are willing to collaborate and collect measured Patagonia data under a funded project. Readiness 1; do not represent this as an existing archive or empirical sample.</x:v>
      </x:c>
    </x:row>
    <x:row r="25">
      <x:c r="A25" t="str">
        <x:v>V-21</x:v>
      </x:c>
      <x:c r="B25" t="str">
        <x:v>Australian Competition and Consumer Commission — Broadband Performance Team</x:v>
      </x:c>
      <x:c r="C25" t="str">
        <x:v>2026-09-23</x:v>
      </x:c>
      <x:c r="D25" t="str">
        <x:v>Measuring Broadband Australia — public historical broadband-performance datasets</x:v>
      </x:c>
      <x:c r="E25" t="str">
        <x:v>Direct network dataset / Starlink historical validation</x:v>
      </x:c>
      <x:c r="F25" t="str">
        <x:v>https://data.gov.au/</x:v>
      </x:c>
      <x:c r="G25" t="str">
        <x:v>Official provider response confirms a more fulsome set of MBA data is publicly released on data.gov.au beyond report aggregates. No special research-use conditions are required; appropriately attribute MBA performance data. Program ended Jun 2026. Readiness 2 until a numerical Starlink-containing release is inspected.</x:v>
      </x:c>
    </x:row>
    <x:row r="26">
      <x:c r="A26" t="str">
        <x:v>V-22</x:v>
      </x:c>
      <x:c r="B26" t="str">
        <x:v>University of Oulu / Harri Saarnisaari</x:v>
      </x:c>
      <x:c r="C26" t="str">
        <x:v>2026-09-23</x:v>
      </x:c>
      <x:c r="D26" t="str">
        <x:v>Provider response — Finland Starlink performance dataset unavailable</x:v>
      </x:c>
      <x:c r="E26" t="str">
        <x:v>Direct-network research lead closed; literature/context only</x:v>
      </x:c>
      <x:c r="F26" t="str">
        <x:v>https://oulurepo.oulu.fi/handle/10024/58511</x:v>
      </x:c>
      <x:c r="G26" t="str">
        <x:v>Harri Saarnisaari confirms the historical measurement data are no longer available and were not saved. The published study remains citable evidence of measured Starlink behavior, but no numerical sample/archive is available for DES ingestion. Readiness 1; acquisition lead closed.</x:v>
      </x:c>
    </x:row>
    <x:row r="27">
      <x:c r="A27" t="str">
        <x:v>V-23</x:v>
      </x:c>
      <x:c r="B27" t="str">
        <x:v>Karlstad University / Johan Garcia</x:v>
      </x:c>
      <x:c r="C27" t="str">
        <x:v>2026-09-27</x:v>
      </x:c>
      <x:c r="D27" t="str">
        <x:v>Provider response — Starlink one-way-delay dataset semantics and DES parameterization</x:v>
      </x:c>
      <x:c r="E27" t="str">
        <x:v>Direct COMM dataset / latency calibration</x:v>
      </x:c>
      <x:c r="F27" t="str">
        <x:v>https://doi.org/10.5281/zenodo.16275284</x:v>
      </x:c>
      <x:c r="G27" t="str">
        <x:v>Provider confirms dataset directly contains uplink/downlink OWD; latency variability/tails can be computed from the full set; reconfiguration effects are represented in the paper. RTT is not measured and must be derived carefully per sample because scheduling matters. Sequence numbers can inform interruption/non-response analysis, but Zenodo documentation warns missing sequence numbers can also result from HW timestamp readout failure. No special reuse/preprocessing conditions beyond normal citation. Readiness 2 pending numerical sample import.</x:v>
      </x:c>
    </x:row>
    <x:row r="28">
      <x:c r="A28" t="str">
        <x:v>V-24</x:v>
      </x:c>
      <x:c r="B28" t="str">
        <x:v>Garcia, Johan; Beckerle, Matthias; Sundberg, Simon; Brunström, Anna</x:v>
      </x:c>
      <x:c r="C28" t="str">
        <x:v>2025</x:v>
      </x:c>
      <x:c r="D28" t="str">
        <x:v>Modeling and predicting Starlink throughput with fine-grained burst characterization</x:v>
      </x:c>
      <x:c r="E28" t="str">
        <x:v>COMM throughput modeling / provider-recommended companion</x:v>
      </x:c>
      <x:c r="F28" t="str">
        <x:v>https://doi.org/10.1016/j.comcom.2025.108090</x:v>
      </x:c>
      <x:c r="G28" t="str">
        <x:v>Provider recommended this companion source for throughput modeling. The paper models Starlink burst-rate/duration/inter-burst behavior and provides a repository/model route. Use as a calibrated scenario/model input source, not as observed throughput in the OWD dataset. Not simultaneous with the current 28 Jan 2022 OPS-SAT ACE event.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d77eee9ee3f48c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4" hidden="0" customWidth="1"/>
    <x:col min="3" max="3" width="28" hidden="0" customWidth="1"/>
    <x:col min="4" max="4" width="14" hidden="0" customWidth="1"/>
    <x:col min="5" max="5" width="70" hidden="0" customWidth="1"/>
  </x:cols>
  <x:sheetData>
    <x:row r="1" ht="30" customHeight="1">
      <x:c r="A1" s="171" t="str">
        <x:v>CITATION URL AUDIT | Exact locators and verification scope</x:v>
      </x:c>
      <x:c r="B1" s="171"/>
      <x:c r="C1" s="171"/>
      <x:c r="D1" s="171"/>
      <x:c r="E1" s="171"/>
    </x:row>
    <x:row r="2" ht="42" customHeight="1">
      <x:c r="A2" s="174" t="str">
        <x:v>A working URL is not bibliographic proof and a failed automated fetch is not proof a work does not exist. Original screenshot leads and research scores retained.</x:v>
      </x:c>
      <x:c r="B2" s="174"/>
      <x:c r="C2" s="174"/>
      <x:c r="D2" s="174"/>
      <x:c r="E2" s="174"/>
    </x:row>
    <x:row r="4" ht="30" customHeight="1">
      <x:c r="A4" s="176" t="str">
        <x:v>URL</x:v>
      </x:c>
      <x:c r="B4" s="176" t="str">
        <x:v>Record location</x:v>
      </x:c>
      <x:c r="C4" s="176" t="str">
        <x:v>Access check</x:v>
      </x:c>
      <x:c r="D4" s="176" t="str">
        <x:v>Check date</x:v>
      </x:c>
      <x:c r="E4" s="176" t="str">
        <x:v>Evidence / limitation</x:v>
      </x:c>
    </x:row>
    <x:row r="5" ht="70" customHeight="1">
      <x:c r="A5" s="179" t="str">
        <x:v>https://ai.jpl.nasa.gov/public/people/chien/</x:v>
      </x:c>
      <x:c r="B5" s="179" t="str">
        <x:v>Research Artifacts!E20</x:v>
      </x:c>
      <x:c r="C5" s="179" t="str">
        <x:v>PAGE / DOCUMENT VERIFIED</x:v>
      </x:c>
      <x:c r="D5" s="179" t="str">
        <x:v>2026-09-15</x:v>
      </x:c>
      <x:c r="E5" s="179" t="str">
        <x:v>Researcher profile; use ASE project for evidence of onboard planning.</x:v>
      </x:c>
    </x:row>
    <x:row r="6" ht="70" customHeight="1">
      <x:c r="A6" s="180" t="str">
        <x:v>https://ai.jpl.nasa.gov/public/projects/ase/</x:v>
      </x:c>
      <x:c r="B6" s="180" t="str">
        <x:v>Verified Additions!V-10</x:v>
      </x:c>
      <x:c r="C6" s="180" t="str">
        <x:v>PAGE / DOCUMENT VERIFIED</x:v>
      </x:c>
      <x:c r="D6" s="180" t="str">
        <x:v>2026-09-15</x:v>
      </x:c>
      <x:c r="E6" s="180" t="str">
        <x:v>Historical flight autonomy/planning/execution project; raw task logs not supplied.</x:v>
      </x:c>
    </x:row>
    <x:row r="7" ht="70" customHeight="1">
      <x:c r="A7" s="179" t="str">
        <x:v>https://arxiv.org/abs/2402.16448</x:v>
      </x:c>
      <x:c r="B7" s="179" t="str">
        <x:v>Intl Data Requests!J8</x:v>
      </x:c>
      <x:c r="C7" s="179" t="str">
        <x:v>PAGE / DOCUMENT VERIFIED</x:v>
      </x:c>
      <x:c r="D7" s="179" t="str">
        <x:v>2026-09-15</x:v>
      </x:c>
      <x:c r="E7" s="179" t="str">
        <x:v>WetLinks paper metadata and abstract.</x:v>
      </x:c>
    </x:row>
    <x:row r="8" ht="70" customHeight="1">
      <x:c r="A8" s="180" t="str">
        <x:v>https://atlas.ripe.net/</x:v>
      </x:c>
      <x:c r="B8" s="180" t="str">
        <x:v>Intl Data Requests!J9</x:v>
      </x:c>
      <x:c r="C8" s="180" t="str">
        <x:v>SHELL ONLY</x:v>
      </x:c>
      <x:c r="D8" s="180" t="str">
        <x:v>2026-09-15</x:v>
      </x:c>
      <x:c r="E8" s="180" t="str">
        <x:v>Dynamic shell reached; deeper API/data check remains.</x:v>
      </x:c>
    </x:row>
    <x:row r="9" ht="70" customHeight="1">
      <x:c r="A9" s="179" t="str">
        <x:v>https://celestrak.org/NORAD/elements/</x:v>
      </x:c>
      <x:c r="B9" s="179" t="str">
        <x:v>Research Artifacts!E9</x:v>
      </x:c>
      <x:c r="C9" s="179" t="str">
        <x:v>NOT CHECKED THIS PASS</x:v>
      </x:c>
      <x:c r="D9" s="179" t="str"/>
      <x:c r="E9" s="179" t="str">
        <x:v>Existing bibliographic record retained. Current URL reachability and full text not checked in this pass.</x:v>
      </x:c>
    </x:row>
    <x:row r="10" ht="70" customHeight="1">
      <x:c r="A10" s="180" t="str">
        <x:v>https://cires-stp.github.io/goesr-spwx-examples/</x:v>
      </x:c>
      <x:c r="B10" s="180" t="str">
        <x:v>Verified Additions!V-13</x:v>
      </x:c>
      <x:c r="C10" s="180" t="str">
        <x:v>PAGE / DOCUMENT VERIFIED</x:v>
      </x:c>
      <x:c r="D10" s="180" t="str">
        <x:v>2026-09-15</x:v>
      </x:c>
      <x:c r="E10" s="180" t="str">
        <x:v>Official-linked example software documentation for reading/downloading GOES products.</x:v>
      </x:c>
    </x:row>
    <x:row r="11" ht="70" customHeight="1">
      <x:c r="A11" s="179" t="str">
        <x:v>https://data.ngdc.noaa.gov/platforms/solar-space-observing-satellites/goes/goes16/l2/docs/GOES_Flare_Report_ReadMe.pdf</x:v>
      </x:c>
      <x:c r="B11" s="179" t="str">
        <x:v>Verified Additions!V-03</x:v>
      </x:c>
      <x:c r="C11" s="179" t="str">
        <x:v>PAGE / DOCUMENT VERIFIED</x:v>
      </x:c>
      <x:c r="D11" s="179" t="str">
        <x:v>2026-09-15</x:v>
      </x:c>
      <x:c r="E11" s="179" t="str">
        <x:v>ReadMe 10Jun2026; field table visually inspected, UTC and blank-value conventions documented.</x:v>
      </x:c>
    </x:row>
    <x:row r="12" ht="70" customHeight="1">
      <x:c r="A12" s="180" t="str">
        <x:v>https://data.ngdc.noaa.gov/platforms/solar-space-observing-satellites/goes/multi/l2/data/xrsf-l2-flrpt_science/csv/sci_xrsf-l2-flrpt_geo_metadata.json</x:v>
      </x:c>
      <x:c r="B12" s="180" t="str">
        <x:v>Verified Additions!V-04</x:v>
      </x:c>
      <x:c r="C12" s="180" t="str">
        <x:v>PAGE / DOCUMENT VERIFIED</x:v>
      </x:c>
      <x:c r="D12" s="180" t="str">
        <x:v>2026-09-15</x:v>
      </x:c>
      <x:c r="E12" s="180" t="str">
        <x:v>Metadata JSON read: UTC, PT1M, fields, unrestricted reuse; not flare numerical observations.</x:v>
      </x:c>
    </x:row>
    <x:row r="13" ht="70" customHeight="1">
      <x:c r="A13" s="179" t="str">
        <x:v>https://doi.org/10.1007/s12243-026-01189-2</x:v>
      </x:c>
      <x:c r="B13" s="179" t="str">
        <x:v>Research Artifacts!E15</x:v>
      </x:c>
      <x:c r="C13" s="179" t="str">
        <x:v>NOT CHECKED THIS PASS</x:v>
      </x:c>
      <x:c r="D13" s="179" t="str"/>
      <x:c r="E13" s="179" t="str">
        <x:v>Existing bibliographic record retained. Current URL reachability and full text not checked in this pass.</x:v>
      </x:c>
    </x:row>
    <x:row r="14" ht="70" customHeight="1">
      <x:c r="A14" s="180" t="str">
        <x:v>https://doi.org/10.1109/CCNC54725.2025.10976084</x:v>
      </x:c>
      <x:c r="B14" s="180" t="str">
        <x:v>Verified Additions!V-12</x:v>
      </x:c>
      <x:c r="C14" s="180" t="str">
        <x:v>NOT CHECKED THIS PASS</x:v>
      </x:c>
      <x:c r="D14" s="180" t="str"/>
      <x:c r="E14" s="180" t="str">
        <x:v>Existing bibliographic record retained. Current URL reachability and full text not checked in this pass.</x:v>
      </x:c>
    </x:row>
    <x:row r="15" ht="70" customHeight="1">
      <x:c r="A15" s="179" t="str">
        <x:v>https://doi.org/10.1109/MeditCom64437.2025.11104426</x:v>
      </x:c>
      <x:c r="B15" s="179" t="str">
        <x:v>Research Artifacts!E16</x:v>
      </x:c>
      <x:c r="C15" s="179" t="str">
        <x:v>NOT CHECKED THIS PASS</x:v>
      </x:c>
      <x:c r="D15" s="179" t="str"/>
      <x:c r="E15" s="179" t="str">
        <x:v>Existing bibliographic record retained. Current URL reachability and full text not checked in this pass.</x:v>
      </x:c>
    </x:row>
    <x:row r="16" ht="70" customHeight="1">
      <x:c r="A16" s="180" t="str">
        <x:v>https://doi.org/10.1109/WCNCW67598.2026.11555547</x:v>
      </x:c>
      <x:c r="B16" s="180" t="str">
        <x:v>Verified Additions!V-11</x:v>
      </x:c>
      <x:c r="C16" s="180" t="str">
        <x:v>NOT CHECKED THIS PASS</x:v>
      </x:c>
      <x:c r="D16" s="180" t="str"/>
      <x:c r="E16" s="180" t="str">
        <x:v>Existing bibliographic record retained. Current URL reachability and full text not checked in this pass.</x:v>
      </x:c>
    </x:row>
    <x:row r="17" ht="70" customHeight="1">
      <x:c r="A17" s="179" t="str">
        <x:v>https://doi.org/10.1145/3748749.3749090</x:v>
      </x:c>
      <x:c r="B17" s="179" t="str">
        <x:v>Research Artifacts!E12</x:v>
      </x:c>
      <x:c r="C17" s="179" t="str">
        <x:v>NOT CHECKED THIS PASS</x:v>
      </x:c>
      <x:c r="D17" s="179" t="str"/>
      <x:c r="E17" s="179" t="str">
        <x:v>Existing bibliographic record retained. Current URL reachability and full text not checked in this pass.</x:v>
      </x:c>
    </x:row>
    <x:row r="18" ht="70" customHeight="1">
      <x:c r="A18" s="180" t="str">
        <x:v>https://doi.org/10.13140/RG.2.2.11408.48640</x:v>
      </x:c>
      <x:c r="B18" s="180" t="str">
        <x:v>Research Library!U25</x:v>
      </x:c>
      <x:c r="C18" s="180" t="str">
        <x:v>NOT CHECKED THIS PASS</x:v>
      </x:c>
      <x:c r="D18" s="180" t="str"/>
      <x:c r="E18" s="180" t="str">
        <x:v>Existing bibliographic record retained. Current URL reachability and full text not checked in this pass.</x:v>
      </x:c>
    </x:row>
    <x:row r="19" ht="70" customHeight="1">
      <x:c r="A19" s="179" t="str">
        <x:v>https://doi.org/10.13140/RG.2.2.12374.10567</x:v>
      </x:c>
      <x:c r="B19" s="179" t="str">
        <x:v>Research Library!U26</x:v>
      </x:c>
      <x:c r="C19" s="179" t="str">
        <x:v>NOT CHECKED THIS PASS</x:v>
      </x:c>
      <x:c r="D19" s="179" t="str"/>
      <x:c r="E19" s="179" t="str">
        <x:v>Existing bibliographic record retained. Current URL reachability and full text not checked in this pass.</x:v>
      </x:c>
    </x:row>
    <x:row r="20" ht="70" customHeight="1">
      <x:c r="A20" s="180" t="str">
        <x:v>https://doi.org/10.13140/RG.2.2.16882.16329</x:v>
      </x:c>
      <x:c r="B20" s="180" t="str">
        <x:v>Research Library!U24</x:v>
      </x:c>
      <x:c r="C20" s="180" t="str">
        <x:v>NOT CHECKED THIS PASS</x:v>
      </x:c>
      <x:c r="D20" s="180" t="str"/>
      <x:c r="E20" s="180" t="str">
        <x:v>Existing bibliographic record retained. Current URL reachability and full text not checked in this pass.</x:v>
      </x:c>
    </x:row>
    <x:row r="21" ht="70" customHeight="1">
      <x:c r="A21" s="179" t="str">
        <x:v>https://doi.org/10.4121/0bf59468-e5cb-433f-aeb2-e04cf694b65c</x:v>
      </x:c>
      <x:c r="B21" s="179" t="str">
        <x:v>Research Artifacts!E18</x:v>
      </x:c>
      <x:c r="C21" s="179" t="str">
        <x:v>NOT CHECKED THIS PASS</x:v>
      </x:c>
      <x:c r="D21" s="179" t="str"/>
      <x:c r="E21" s="179" t="str">
        <x:v>Existing bibliographic record retained. Current URL reachability and full text not checked in this pass.</x:v>
      </x:c>
    </x:row>
    <x:row r="22" ht="70" customHeight="1">
      <x:c r="A22" s="180" t="str">
        <x:v>https://doi.org/10.5281/zenodo.16275284</x:v>
      </x:c>
      <x:c r="B22" s="180" t="str">
        <x:v>Research Artifacts!E11</x:v>
      </x:c>
      <x:c r="C22" s="180" t="str">
        <x:v>NOT CHECKED THIS PASS</x:v>
      </x:c>
      <x:c r="D22" s="180" t="str"/>
      <x:c r="E22" s="180" t="str">
        <x:v>Existing bibliographic record retained. Current URL reachability and full text not checked in this pass.</x:v>
      </x:c>
    </x:row>
    <x:row r="23" ht="70" customHeight="1">
      <x:c r="A23" s="179" t="str">
        <x:v>https://doi.org/10.5281/zenodo.16888309</x:v>
      </x:c>
      <x:c r="B23" s="179" t="str">
        <x:v>Research Library!U35</x:v>
      </x:c>
      <x:c r="C23" s="179" t="str">
        <x:v>NOT CHECKED THIS PASS</x:v>
      </x:c>
      <x:c r="D23" s="179" t="str"/>
      <x:c r="E23" s="179" t="str">
        <x:v>Existing bibliographic record retained. Current URL reachability and full text not checked in this pass.</x:v>
      </x:c>
    </x:row>
    <x:row r="24" ht="70" customHeight="1">
      <x:c r="A24" s="180" t="str">
        <x:v>https://doi.org/10.5281/zenodo.20796667</x:v>
      </x:c>
      <x:c r="B24" s="180" t="str">
        <x:v>Research Artifacts!E13</x:v>
      </x:c>
      <x:c r="C24" s="180" t="str">
        <x:v>NOT CHECKED THIS PASS</x:v>
      </x:c>
      <x:c r="D24" s="180" t="str"/>
      <x:c r="E24" s="180" t="str">
        <x:v>Existing bibliographic record retained. Current URL reachability and full text not checked in this pass.</x:v>
      </x:c>
    </x:row>
    <x:row r="25" ht="70" customHeight="1">
      <x:c r="A25" s="179" t="str">
        <x:v>https://doi.org/10.7249/RRA980-1</x:v>
      </x:c>
      <x:c r="B25" s="179" t="str">
        <x:v>Research Artifacts!E6</x:v>
      </x:c>
      <x:c r="C25" s="179" t="str">
        <x:v>NOT CHECKED THIS PASS</x:v>
      </x:c>
      <x:c r="D25" s="179" t="str"/>
      <x:c r="E25" s="179" t="str">
        <x:v>Existing bibliographic record retained. Current URL reachability and full text not checked in this pass.</x:v>
      </x:c>
    </x:row>
    <x:row r="26" ht="70" customHeight="1">
      <x:c r="A26" s="180" t="str">
        <x:v>https://github.com/SPEAR-Research-Lab/Horizon-Predicting-Starlink-Performance</x:v>
      </x:c>
      <x:c r="B26" s="180" t="str">
        <x:v>Research Artifacts!E17</x:v>
      </x:c>
      <x:c r="C26" s="180" t="str">
        <x:v>PAGE / DOCUMENT VERIFIED</x:v>
      </x:c>
      <x:c r="D26" s="180" t="str">
        <x:v>2026-09-15</x:v>
      </x:c>
      <x:c r="E26" s="180" t="str">
        <x:v>Prediction code and data locator; ML is performance prediction, not onboard orbital execution.</x:v>
      </x:c>
    </x:row>
    <x:row r="27" ht="70" customHeight="1">
      <x:c r="A27" s="179" t="str">
        <x:v>https://github.com/clarkzjw/LENS</x:v>
      </x:c>
      <x:c r="B27" s="179" t="str">
        <x:v>Research Artifacts!E21</x:v>
      </x:c>
      <x:c r="C27" s="179" t="str">
        <x:v>PAGE / DOCUMENT VERIFIED</x:v>
      </x:c>
      <x:c r="D27" s="179" t="str">
        <x:v>2026-09-15</x:v>
      </x:c>
      <x:c r="E27" s="179" t="str">
        <x:v>Latency/loss schemas + samples in README; new portal is separate unresolved access check.</x:v>
      </x:c>
    </x:row>
    <x:row r="28" ht="70" customHeight="1">
      <x:c r="A28" s="180" t="str">
        <x:v>https://github.com/diic-starlink/performance-insights-into-starlink</x:v>
      </x:c>
      <x:c r="B28" s="180" t="str">
        <x:v>Research Artifacts!E19</x:v>
      </x:c>
      <x:c r="C28" s="180" t="str">
        <x:v>PAGE / DOCUMENT VERIFIED</x:v>
      </x:c>
      <x:c r="D28" s="180" t="str">
        <x:v>2026-09-15</x:v>
      </x:c>
      <x:c r="E28" s="180" t="str">
        <x:v>Code/tools accessible; README Data access heading does not supply a complete bulk archive.</x:v>
      </x:c>
    </x:row>
    <x:row r="29" ht="70" customHeight="1">
      <x:c r="A29" s="179" t="str">
        <x:v>https://github.com/sys-uos/WetLinks</x:v>
      </x:c>
      <x:c r="B29" s="179" t="str">
        <x:v>Research Artifacts!E22</x:v>
      </x:c>
      <x:c r="C29" s="179" t="str">
        <x:v>PAGE / DOCUMENT VERIFIED</x:v>
      </x:c>
      <x:c r="D29" s="179" t="str">
        <x:v>2026-09-15</x:v>
      </x:c>
      <x:c r="E29" s="179" t="str">
        <x:v>Raw/preprocessed CSV routes, net_ping/iperf/weather documentation.</x:v>
      </x:c>
    </x:row>
    <x:row r="30" ht="70" customHeight="1">
      <x:c r="A30" s="180" t="str">
        <x:v>https://ieeexplore.ieee.org/document/9210567</x:v>
      </x:c>
      <x:c r="B30" s="180" t="str">
        <x:v>Research Artifacts!E8</x:v>
      </x:c>
      <x:c r="C30" s="180" t="str">
        <x:v>NOT CHECKED THIS PASS</x:v>
      </x:c>
      <x:c r="D30" s="180" t="str"/>
      <x:c r="E30" s="180" t="str">
        <x:v>Existing bibliographic record retained. Current URL reachability and full text not checked in this pass.</x:v>
      </x:c>
    </x:row>
    <x:row r="31" ht="70" customHeight="1">
      <x:c r="A31" s="179" t="str">
        <x:v>https://onlineacademiccommunity.uvic.ca/starlink/</x:v>
      </x:c>
      <x:c r="B31" s="179" t="str">
        <x:v>Intl Data Requests!J7</x:v>
      </x:c>
      <x:c r="C31" s="179" t="str">
        <x:v>PAGE / DOCUMENT VERIFIED</x:v>
      </x:c>
      <x:c r="D31" s="179" t="str">
        <x:v>2026-09-15</x:v>
      </x:c>
      <x:c r="E31" s="179" t="str">
        <x:v>Dataset, paper and tool catalog; trace-driven network/ML research documented.</x:v>
      </x:c>
    </x:row>
    <x:row r="32" ht="70" customHeight="1">
      <x:c r="A32" s="180" t="str">
        <x:v>https://scholarspace.library.gwu.edu/concern/gw_etds/1544bq08m</x:v>
      </x:c>
      <x:c r="B32" s="180" t="str">
        <x:v>Research Library!U19</x:v>
      </x:c>
      <x:c r="C32" s="180" t="str">
        <x:v>NOT CHECKED THIS PASS</x:v>
      </x:c>
      <x:c r="D32" s="180" t="str"/>
      <x:c r="E32" s="180" t="str">
        <x:v>Existing bibliographic record retained. Current URL reachability and full text not checked in this pass.</x:v>
      </x:c>
    </x:row>
    <x:row r="33" ht="70" customHeight="1">
      <x:c r="A33" s="179" t="str">
        <x:v>https://scholarspace.library.gwu.edu/concern/gw_etds/2j62s577p</x:v>
      </x:c>
      <x:c r="B33" s="179" t="str">
        <x:v>Research Library!U33</x:v>
      </x:c>
      <x:c r="C33" s="179" t="str">
        <x:v>NOT CHECKED THIS PASS</x:v>
      </x:c>
      <x:c r="D33" s="179" t="str"/>
      <x:c r="E33" s="179" t="str">
        <x:v>Existing bibliographic record retained. Current URL reachability and full text not checked in this pass.</x:v>
      </x:c>
    </x:row>
    <x:row r="34" ht="70" customHeight="1">
      <x:c r="A34" s="180" t="str">
        <x:v>https://scholarspace.library.gwu.edu/concern/gw_etds/2v23vv18b</x:v>
      </x:c>
      <x:c r="B34" s="180" t="str">
        <x:v>Research Library!U27</x:v>
      </x:c>
      <x:c r="C34" s="180" t="str">
        <x:v>NOT CHECKED THIS PASS</x:v>
      </x:c>
      <x:c r="D34" s="180" t="str"/>
      <x:c r="E34" s="180" t="str">
        <x:v>Existing bibliographic record retained. Current URL reachability and full text not checked in this pass.</x:v>
      </x:c>
    </x:row>
    <x:row r="35" ht="70" customHeight="1">
      <x:c r="A35" s="179" t="str">
        <x:v>https://scholarspace.library.gwu.edu/concern/gw_etds/5712m7598</x:v>
      </x:c>
      <x:c r="B35" s="179" t="str">
        <x:v>Research Library!U16</x:v>
      </x:c>
      <x:c r="C35" s="179" t="str">
        <x:v>NOT CHECKED THIS PASS</x:v>
      </x:c>
      <x:c r="D35" s="179" t="str"/>
      <x:c r="E35" s="179" t="str">
        <x:v>Existing bibliographic record retained. Current URL reachability and full text not checked in this pass.</x:v>
      </x:c>
    </x:row>
    <x:row r="36" ht="70" customHeight="1">
      <x:c r="A36" s="180" t="str">
        <x:v>https://scholarspace.library.gwu.edu/concern/gw_etds/bk128b72k</x:v>
      </x:c>
      <x:c r="B36" s="180" t="str">
        <x:v>Research Library!U17</x:v>
      </x:c>
      <x:c r="C36" s="180" t="str">
        <x:v>NOT CHECKED THIS PASS</x:v>
      </x:c>
      <x:c r="D36" s="180" t="str"/>
      <x:c r="E36" s="180" t="str">
        <x:v>Existing bibliographic record retained. Current URL reachability and full text not checked in this pass.</x:v>
      </x:c>
    </x:row>
    <x:row r="37" ht="70" customHeight="1">
      <x:c r="A37" s="179" t="str">
        <x:v>https://scholarspace.library.gwu.edu/concern/gw_etds/br86b420j</x:v>
      </x:c>
      <x:c r="B37" s="179" t="str">
        <x:v>Research Library!U20</x:v>
      </x:c>
      <x:c r="C37" s="179" t="str">
        <x:v>NOT CHECKED THIS PASS</x:v>
      </x:c>
      <x:c r="D37" s="179" t="str"/>
      <x:c r="E37" s="179" t="str">
        <x:v>Existing bibliographic record retained. Current URL reachability and full text not checked in this pass.</x:v>
      </x:c>
    </x:row>
    <x:row r="38" ht="70" customHeight="1">
      <x:c r="A38" s="180" t="str">
        <x:v>https://scholarspace.library.gwu.edu/concern/gw_etds/jd472x57t</x:v>
      </x:c>
      <x:c r="B38" s="180" t="str">
        <x:v>Research Library!U30</x:v>
      </x:c>
      <x:c r="C38" s="180" t="str">
        <x:v>NOT CHECKED THIS PASS</x:v>
      </x:c>
      <x:c r="D38" s="180" t="str"/>
      <x:c r="E38" s="180" t="str">
        <x:v>Existing bibliographic record retained. Current URL reachability and full text not checked in this pass.</x:v>
      </x:c>
    </x:row>
    <x:row r="39" ht="70" customHeight="1">
      <x:c r="A39" s="179" t="str">
        <x:v>https://scholarspace.library.gwu.edu/concern/gw_etds/js956g65h</x:v>
      </x:c>
      <x:c r="B39" s="179" t="str">
        <x:v>Research Library!U28</x:v>
      </x:c>
      <x:c r="C39" s="179" t="str">
        <x:v>NOT CHECKED THIS PASS</x:v>
      </x:c>
      <x:c r="D39" s="179" t="str"/>
      <x:c r="E39" s="179" t="str">
        <x:v>Existing bibliographic record retained. Current URL reachability and full text not checked in this pass.</x:v>
      </x:c>
    </x:row>
    <x:row r="40" ht="70" customHeight="1">
      <x:c r="A40" s="180" t="str">
        <x:v>https://scholarspace.library.gwu.edu/concern/gw_etds/k0698875j</x:v>
      </x:c>
      <x:c r="B40" s="180" t="str">
        <x:v>Research Library!U23</x:v>
      </x:c>
      <x:c r="C40" s="180" t="str">
        <x:v>NOT CHECKED THIS PASS</x:v>
      </x:c>
      <x:c r="D40" s="180" t="str"/>
      <x:c r="E40" s="180" t="str">
        <x:v>Existing bibliographic record retained. Current URL reachability and full text not checked in this pass.</x:v>
      </x:c>
    </x:row>
    <x:row r="41" ht="70" customHeight="1">
      <x:c r="A41" s="179" t="str">
        <x:v>https://scholarspace.library.gwu.edu/concern/gw_etds/m900nv184</x:v>
      </x:c>
      <x:c r="B41" s="179" t="str">
        <x:v>Research Library!U34</x:v>
      </x:c>
      <x:c r="C41" s="179" t="str">
        <x:v>NOT CHECKED THIS PASS</x:v>
      </x:c>
      <x:c r="D41" s="179" t="str"/>
      <x:c r="E41" s="179" t="str">
        <x:v>Existing bibliographic record retained. Current URL reachability and full text not checked in this pass.</x:v>
      </x:c>
    </x:row>
    <x:row r="42" ht="70" customHeight="1">
      <x:c r="A42" s="180" t="str">
        <x:v>https://scholarspace.library.gwu.edu/concern/gw_etds/mg74qn00d</x:v>
      </x:c>
      <x:c r="B42" s="180" t="str">
        <x:v>Research Library!U21</x:v>
      </x:c>
      <x:c r="C42" s="180" t="str">
        <x:v>NOT CHECKED THIS PASS</x:v>
      </x:c>
      <x:c r="D42" s="180" t="str"/>
      <x:c r="E42" s="180" t="str">
        <x:v>Existing bibliographic record retained. Current URL reachability and full text not checked in this pass.</x:v>
      </x:c>
    </x:row>
    <x:row r="43" ht="70" customHeight="1">
      <x:c r="A43" s="179" t="str">
        <x:v>https://scholarspace.library.gwu.edu/concern/gw_etds/pn89d662c</x:v>
      </x:c>
      <x:c r="B43" s="179" t="str">
        <x:v>Research Library!U29</x:v>
      </x:c>
      <x:c r="C43" s="179" t="str">
        <x:v>NOT CHECKED THIS PASS</x:v>
      </x:c>
      <x:c r="D43" s="179" t="str"/>
      <x:c r="E43" s="179" t="str">
        <x:v>Existing bibliographic record retained. Current URL reachability and full text not checked in this pass.</x:v>
      </x:c>
    </x:row>
    <x:row r="44" ht="70" customHeight="1">
      <x:c r="A44" s="180" t="str">
        <x:v>https://scholarspace.library.gwu.edu/concern/gw_etds/qv33rx81r</x:v>
      </x:c>
      <x:c r="B44" s="180" t="str">
        <x:v>Research Library!U8</x:v>
      </x:c>
      <x:c r="C44" s="180" t="str">
        <x:v>NOT CHECKED THIS PASS</x:v>
      </x:c>
      <x:c r="D44" s="180" t="str"/>
      <x:c r="E44" s="180" t="str">
        <x:v>Existing bibliographic record retained. Current URL reachability and full text not checked in this pass.</x:v>
      </x:c>
    </x:row>
    <x:row r="45" ht="70" customHeight="1">
      <x:c r="A45" s="179" t="str">
        <x:v>https://scholarspace.library.gwu.edu/concern/gw_etds/r207tq15z</x:v>
      </x:c>
      <x:c r="B45" s="179" t="str">
        <x:v>Research Library!U15</x:v>
      </x:c>
      <x:c r="C45" s="179" t="str">
        <x:v>NOT CHECKED THIS PASS</x:v>
      </x:c>
      <x:c r="D45" s="179" t="str"/>
      <x:c r="E45" s="179" t="str">
        <x:v>Existing bibliographic record retained. Current URL reachability and full text not checked in this pass.</x:v>
      </x:c>
    </x:row>
    <x:row r="46" ht="70" customHeight="1">
      <x:c r="A46" s="180" t="str">
        <x:v>https://scholarspace.library.gwu.edu/concern/gw_etds/sn009z73z</x:v>
      </x:c>
      <x:c r="B46" s="180" t="str">
        <x:v>Research Library!U31</x:v>
      </x:c>
      <x:c r="C46" s="180" t="str">
        <x:v>NOT CHECKED THIS PASS</x:v>
      </x:c>
      <x:c r="D46" s="180" t="str"/>
      <x:c r="E46" s="180" t="str">
        <x:v>Existing bibliographic record retained. Current URL reachability and full text not checked in this pass.</x:v>
      </x:c>
    </x:row>
    <x:row r="47" ht="70" customHeight="1">
      <x:c r="A47" s="179" t="str">
        <x:v>https://scholarspace.library.gwu.edu/concern/gw_etds/st74cr52x</x:v>
      </x:c>
      <x:c r="B47" s="179" t="str">
        <x:v>Research Library!U18</x:v>
      </x:c>
      <x:c r="C47" s="179" t="str">
        <x:v>NOT CHECKED THIS PASS</x:v>
      </x:c>
      <x:c r="D47" s="179" t="str"/>
      <x:c r="E47" s="179" t="str">
        <x:v>Existing bibliographic record retained. Current URL reachability and full text not checked in this pass.</x:v>
      </x:c>
    </x:row>
    <x:row r="48" ht="70" customHeight="1">
      <x:c r="A48" s="180" t="str">
        <x:v>https://scholarspace.library.gwu.edu/concern/gw_etds/tt44pn765</x:v>
      </x:c>
      <x:c r="B48" s="180" t="str">
        <x:v>Research Library!U5</x:v>
      </x:c>
      <x:c r="C48" s="180" t="str">
        <x:v>NOT CHECKED THIS PASS</x:v>
      </x:c>
      <x:c r="D48" s="180" t="str"/>
      <x:c r="E48" s="180" t="str">
        <x:v>Existing bibliographic record retained. Current URL reachability and full text not checked in this pass.</x:v>
      </x:c>
    </x:row>
    <x:row r="49" ht="70" customHeight="1">
      <x:c r="A49" s="179" t="str">
        <x:v>https://scholarspace.library.gwu.edu/downloads/cv43nx61h?disposition=attachment&amp;locale=en</x:v>
      </x:c>
      <x:c r="B49" s="179" t="str">
        <x:v>Research Library!U6</x:v>
      </x:c>
      <x:c r="C49" s="179" t="str">
        <x:v>NOT CHECKED THIS PASS</x:v>
      </x:c>
      <x:c r="D49" s="179" t="str"/>
      <x:c r="E49" s="179" t="str">
        <x:v>Existing bibliographic record retained. Current URL reachability and full text not checked in this pass.</x:v>
      </x:c>
    </x:row>
    <x:row r="50" ht="70" customHeight="1">
      <x:c r="A50" s="180" t="str">
        <x:v>https://scholarspace.library.gwu.edu/downloads/dv13zt91w?disposition=inline&amp;locale=en</x:v>
      </x:c>
      <x:c r="B50" s="180" t="str">
        <x:v>Research Library!U12</x:v>
      </x:c>
      <x:c r="C50" s="180" t="str">
        <x:v>NOT CHECKED THIS PASS</x:v>
      </x:c>
      <x:c r="D50" s="180" t="str"/>
      <x:c r="E50" s="180" t="str">
        <x:v>Existing bibliographic record retained. Current URL reachability and full text not checked in this pass.</x:v>
      </x:c>
    </x:row>
    <x:row r="51" ht="70" customHeight="1">
      <x:c r="A51" s="179" t="str">
        <x:v>https://scholarspace.library.gwu.edu/downloads/k3569472r?disposition=attachment&amp;locale=en</x:v>
      </x:c>
      <x:c r="B51" s="179" t="str">
        <x:v>Research Library!U14</x:v>
      </x:c>
      <x:c r="C51" s="179" t="str">
        <x:v>NOT CHECKED THIS PASS</x:v>
      </x:c>
      <x:c r="D51" s="179" t="str"/>
      <x:c r="E51" s="179" t="str">
        <x:v>Existing bibliographic record retained. Current URL reachability and full text not checked in this pass.</x:v>
      </x:c>
    </x:row>
    <x:row r="52" ht="70" customHeight="1">
      <x:c r="A52" s="180" t="str">
        <x:v>https://scholarspace.library.gwu.edu/downloads/x059c743t?disposition=inline&amp;locale=en</x:v>
      </x:c>
      <x:c r="B52" s="180" t="str">
        <x:v>Research Library!U10</x:v>
      </x:c>
      <x:c r="C52" s="180" t="str">
        <x:v>NOT CHECKED THIS PASS</x:v>
      </x:c>
      <x:c r="D52" s="180" t="str"/>
      <x:c r="E52" s="180" t="str">
        <x:v>Existing bibliographic record retained. Current URL reachability and full text not checked in this pass.</x:v>
      </x:c>
    </x:row>
    <x:row r="53" ht="70" customHeight="1">
      <x:c r="A53" s="179" t="str">
        <x:v>https://scholarspace.library.gwu.edu/etd/1v53jx95k</x:v>
      </x:c>
      <x:c r="B53" s="179" t="str">
        <x:v>Research Library!U9</x:v>
      </x:c>
      <x:c r="C53" s="179" t="str">
        <x:v>NOT CHECKED THIS PASS</x:v>
      </x:c>
      <x:c r="D53" s="179" t="str"/>
      <x:c r="E53" s="179" t="str">
        <x:v>Existing bibliographic record retained. Current URL reachability and full text not checked in this pass.</x:v>
      </x:c>
    </x:row>
    <x:row r="54" ht="70" customHeight="1">
      <x:c r="A54" s="180" t="str">
        <x:v>https://scholarspace.library.gwu.edu/etd/gb19f652r</x:v>
      </x:c>
      <x:c r="B54" s="180" t="str">
        <x:v>Research Library!U7</x:v>
      </x:c>
      <x:c r="C54" s="180" t="str">
        <x:v>NOT CHECKED THIS PASS</x:v>
      </x:c>
      <x:c r="D54" s="180" t="str"/>
      <x:c r="E54" s="180" t="str">
        <x:v>Existing bibliographic record retained. Current URL reachability and full text not checked in this pass.</x:v>
      </x:c>
    </x:row>
    <x:row r="55" ht="70" customHeight="1">
      <x:c r="A55" s="179" t="str">
        <x:v>https://scholarspace.library.gwu.edu/etd/tt44pn013</x:v>
      </x:c>
      <x:c r="B55" s="179" t="str">
        <x:v>Research Library!U11</x:v>
      </x:c>
      <x:c r="C55" s="179" t="str">
        <x:v>NOT CHECKED THIS PASS</x:v>
      </x:c>
      <x:c r="D55" s="179" t="str"/>
      <x:c r="E55" s="179" t="str">
        <x:v>Existing bibliographic record retained. Current URL reachability and full text not checked in this pass.</x:v>
      </x:c>
    </x:row>
    <x:row r="56" ht="70" customHeight="1">
      <x:c r="A56" s="180" t="str">
        <x:v>https://scholarspace.library.gwu.edu/etd/z316q184z</x:v>
      </x:c>
      <x:c r="B56" s="180" t="str">
        <x:v>Research Library!U13</x:v>
      </x:c>
      <x:c r="C56" s="180" t="str">
        <x:v>NOT CHECKED THIS PASS</x:v>
      </x:c>
      <x:c r="D56" s="180" t="str"/>
      <x:c r="E56" s="180" t="str">
        <x:v>Existing bibliographic record retained. Current URL reachability and full text not checked in this pass.</x:v>
      </x:c>
    </x:row>
    <x:row r="57" ht="70" customHeight="1">
      <x:c r="A57" s="179" t="str">
        <x:v>https://sdup.esoc.esa.int/contact</x:v>
      </x:c>
      <x:c r="B57" s="179" t="str">
        <x:v>Intl Data Requests!J18</x:v>
      </x:c>
      <x:c r="C57" s="179" t="str">
        <x:v>PAGE / DOCUMENT VERIFIED</x:v>
      </x:c>
      <x:c r="D57" s="179" t="str">
        <x:v>2026-09-15</x:v>
      </x:c>
      <x:c r="E57" s="179" t="str">
        <x:v>Orbital-metadata service contact.</x:v>
      </x:c>
    </x:row>
    <x:row r="58" ht="70" customHeight="1">
      <x:c r="A58" s="180" t="str">
        <x:v>https://search.proquest.com/openview/333ba46b81388bcc3888a092c0bf6879/1.pdf?pq-origsite=gscholar&amp;cbl=18750&amp;diss=y</x:v>
      </x:c>
      <x:c r="B58" s="180" t="str">
        <x:v>Research Library!U22</x:v>
      </x:c>
      <x:c r="C58" s="180" t="str">
        <x:v>NOT CHECKED THIS PASS</x:v>
      </x:c>
      <x:c r="D58" s="180" t="str"/>
      <x:c r="E58" s="180" t="str">
        <x:v>Existing bibliographic record retained. Current URL reachability and full text not checked in this pass.</x:v>
      </x:c>
    </x:row>
    <x:row r="59" ht="70" customHeight="1">
      <x:c r="A59" s="179" t="str">
        <x:v>https://search.proquest.com/openview/88a43e1ad35e4f012b3bb98fb476f41b/1?cbl=18750&amp;diss=y&amp;pq-origsite=gscholar</x:v>
      </x:c>
      <x:c r="B59" s="179" t="str">
        <x:v>Research Library!U32</x:v>
      </x:c>
      <x:c r="C59" s="179" t="str">
        <x:v>NOT CHECKED THIS PASS</x:v>
      </x:c>
      <x:c r="D59" s="179" t="str"/>
      <x:c r="E59" s="179" t="str">
        <x:v>Existing bibliographic record retained. Current URL reachability and full text not checked in this pass.</x:v>
      </x:c>
    </x:row>
    <x:row r="60" ht="70" customHeight="1">
      <x:c r="A60" s="180" t="str">
        <x:v>https://smartdata.polito.it/a-first-look-at-starlink-performance-open-data/</x:v>
      </x:c>
      <x:c r="B60" s="180" t="str">
        <x:v>Research Artifacts!E14</x:v>
      </x:c>
      <x:c r="C60" s="180" t="str">
        <x:v>PAGE / DOCUMENT VERIFIED</x:v>
      </x:c>
      <x:c r="D60" s="180" t="str">
        <x:v>2026-09-15</x:v>
      </x:c>
      <x:c r="E60" s="180" t="str">
        <x:v>University open-data landing page; raw archive not inspected.</x:v>
      </x:c>
    </x:row>
    <x:row r="61" ht="70" customHeight="1">
      <x:c r="A61" s="179" t="str">
        <x:v>https://solartsunamis.otago.ac.nz/mana/mana-data/</x:v>
      </x:c>
      <x:c r="B61" s="179" t="str">
        <x:v>Intl Data Requests!J10</x:v>
      </x:c>
      <x:c r="C61" s="179" t="str">
        <x:v>PAGE / DOCUMENT VERIFIED</x:v>
      </x:c>
      <x:c r="D61" s="179" t="str">
        <x:v>2026-09-15</x:v>
      </x:c>
      <x:c r="E61" s="179" t="str">
        <x:v>Data-access policy/request route; sample not inspected.</x:v>
      </x:c>
    </x:row>
    <x:row r="62" ht="70" customHeight="1">
      <x:c r="A62" s="180" t="str">
        <x:v>https://swe.ssa.esa.int/contact</x:v>
      </x:c>
      <x:c r="B62" s="180" t="str">
        <x:v>Intl Data Requests!J15</x:v>
      </x:c>
      <x:c r="C62" s="180" t="str">
        <x:v>PAGE / DOCUMENT VERIFIED</x:v>
      </x:c>
      <x:c r="D62" s="180" t="str">
        <x:v>2026-09-15</x:v>
      </x:c>
      <x:c r="E62" s="180" t="str">
        <x:v>Helpdesk contact, not dataset download.</x:v>
      </x:c>
    </x:row>
    <x:row r="63" ht="70" customHeight="1">
      <x:c r="A63" s="179" t="str">
        <x:v>https://wdc.nict.go.jp/wdc-top/contact.html</x:v>
      </x:c>
      <x:c r="B63" s="179" t="str">
        <x:v>Intl Data Requests!J6</x:v>
      </x:c>
      <x:c r="C63" s="179" t="str">
        <x:v>PAGE / DOCUMENT VERIFIED</x:v>
      </x:c>
      <x:c r="D63" s="179" t="str">
        <x:v>2026-09-15</x:v>
      </x:c>
      <x:c r="E63" s="179" t="str">
        <x:v>Contact / archive links; not a latency dataset.</x:v>
      </x:c>
    </x:row>
    <x:row r="64" ht="70" customHeight="1">
      <x:c r="A64" s="180" t="str">
        <x:v>https://weather.metoffice.gov.uk/learn-about/space-weather/met-office-role</x:v>
      </x:c>
      <x:c r="B64" s="180" t="str">
        <x:v>Intl Data Requests!J13</x:v>
      </x:c>
      <x:c r="C64" s="180" t="str">
        <x:v>PAGE / DOCUMENT VERIFIED</x:v>
      </x:c>
      <x:c r="D64" s="180" t="str">
        <x:v>2026-09-15</x:v>
      </x:c>
      <x:c r="E64" s="180" t="str">
        <x:v>Environmental service description, not direct link metrics.</x:v>
      </x:c>
    </x:row>
    <x:row r="65" ht="70" customHeight="1">
      <x:c r="A65" s="179" t="str">
        <x:v>https://www.eumetsat.int/contact-eumetsat</x:v>
      </x:c>
      <x:c r="B65" s="179" t="str">
        <x:v>Intl Data Requests!J16</x:v>
      </x:c>
      <x:c r="C65" s="179" t="str">
        <x:v>PAGE / DOCUMENT VERIFIED</x:v>
      </x:c>
      <x:c r="D65" s="179" t="str">
        <x:v>2026-09-15</x:v>
      </x:c>
      <x:c r="E65" s="179" t="str">
        <x:v>Contact/data-service routing only.</x:v>
      </x:c>
    </x:row>
    <x:row r="66" ht="70" customHeight="1">
      <x:c r="A66" s="180" t="str">
        <x:v>https://www.gns.cri.nz/about-us/staff-search/tanja-petersen/</x:v>
      </x:c>
      <x:c r="B66" s="180" t="str">
        <x:v>Intl Data Requests!J11</x:v>
      </x:c>
      <x:c r="C66" s="180" t="str">
        <x:v>PAGE / DOCUMENT VERIFIED</x:v>
      </x:c>
      <x:c r="D66" s="180" t="str">
        <x:v>2026-09-15</x:v>
      </x:c>
      <x:c r="E66" s="180" t="str">
        <x:v>Scientist profile/referral, not data file.</x:v>
      </x:c>
    </x:row>
    <x:row r="67" ht="70" customHeight="1">
      <x:c r="A67" s="179" t="str">
        <x:v>https://www.mbie.govt.nz/science-and-technology/space/connect-with-nzsa</x:v>
      </x:c>
      <x:c r="B67" s="179" t="str">
        <x:v>Intl Data Requests!J17</x:v>
      </x:c>
      <x:c r="C67" s="179" t="str">
        <x:v>FETCH / PARSE UNRESOLVED</x:v>
      </x:c>
      <x:c r="D67" s="179" t="str">
        <x:v>2026-09-15</x:v>
      </x:c>
      <x:c r="E67" s="179" t="str">
        <x:v>Tool fetch unresolved; referral remains a lead.</x:v>
      </x:c>
    </x:row>
    <x:row r="68" ht="70" customHeight="1">
      <x:c r="A68" s="180" t="str">
        <x:v>https://www.nasa.gov/wp-content/uploads/2023/09/scan-add-vol1rev4.pdf</x:v>
      </x:c>
      <x:c r="B68" s="180" t="str">
        <x:v>Research Artifacts!E7</x:v>
      </x:c>
      <x:c r="C68" s="180" t="str">
        <x:v>NOT CHECKED THIS PASS</x:v>
      </x:c>
      <x:c r="D68" s="180" t="str"/>
      <x:c r="E68" s="180" t="str">
        <x:v>Existing bibliographic record retained. Current URL reachability and full text not checked in this pass.</x:v>
      </x:c>
    </x:row>
    <x:row r="69" ht="70" customHeight="1">
      <x:c r="A69" s="179" t="str">
        <x:v>https://www.ncei.noaa.gov/products/deep-space-climate-observatory-dscovr</x:v>
      </x:c>
      <x:c r="B69" s="179" t="str">
        <x:v>Verified Additions!V-08</x:v>
      </x:c>
      <x:c r="C69" s="179" t="str">
        <x:v>PAGE / DOCUMENT VERIFIED</x:v>
      </x:c>
      <x:c r="D69" s="179" t="str">
        <x:v>2026-09-15</x:v>
      </x:c>
      <x:c r="E69" s="179" t="str">
        <x:v>Solar-wind fields, direct product routes; current live coverage not independently confirmed.</x:v>
      </x:c>
    </x:row>
    <x:row r="70" ht="70" customHeight="1">
      <x:c r="A70" s="180" t="str">
        <x:v>https://www.ncei.noaa.gov/products/dmsp-ion-electron-scintillation</x:v>
      </x:c>
      <x:c r="B70" s="180" t="str">
        <x:v>Verified Additions!V-05</x:v>
      </x:c>
      <x:c r="C70" s="180" t="str">
        <x:v>PAGE / DOCUMENT VERIFIED</x:v>
      </x:c>
      <x:c r="D70" s="180" t="str">
        <x:v>2026-09-15</x:v>
      </x:c>
      <x:c r="E70" s="180" t="str">
        <x:v>SSIES sensor/coverage details: June1987-May2024 with gaps; selected fields require file inspection.</x:v>
      </x:c>
    </x:row>
    <x:row r="71" ht="70" customHeight="1">
      <x:c r="A71" s="179" t="str">
        <x:v>https://www.ncei.noaa.gov/products/goes-r-extreme-ultraviolet-xray-irradiance</x:v>
      </x:c>
      <x:c r="B71" s="179" t="str">
        <x:v>Verified Additions!V-02</x:v>
      </x:c>
      <x:c r="C71" s="179" t="str">
        <x:v>PAGE / DOCUMENT VERIFIED</x:v>
      </x:c>
      <x:c r="D71" s="179" t="str">
        <x:v>2026-09-15</x:v>
      </x:c>
      <x:c r="E71" s="179" t="str">
        <x:v>L2 EXIS products, NetCDF/CSV lists, quality docs, code and citation sources.</x:v>
      </x:c>
    </x:row>
    <x:row r="72" ht="70" customHeight="1">
      <x:c r="A72" s="180" t="str">
        <x:v>https://www.ncei.noaa.gov/products/goes-r-magnetometer</x:v>
      </x:c>
      <x:c r="B72" s="180" t="str">
        <x:v>Verified Additions!V-07</x:v>
      </x:c>
      <x:c r="C72" s="180" t="str">
        <x:v>PAGE / DOCUMENT VERIFIED</x:v>
      </x:c>
      <x:c r="D72" s="180" t="str">
        <x:v>2026-09-15</x:v>
      </x:c>
      <x:c r="E72" s="180" t="str">
        <x:v>MAG vector products and cadence/coordinate documentation.</x:v>
      </x:c>
    </x:row>
    <x:row r="73" ht="70" customHeight="1">
      <x:c r="A73" s="179" t="str">
        <x:v>https://www.ncei.noaa.gov/products/satellite-anomalies</x:v>
      </x:c>
      <x:c r="B73" s="179" t="str">
        <x:v>Verified Additions!V-09</x:v>
      </x:c>
      <x:c r="C73" s="179" t="str">
        <x:v>PAGE / DOCUMENT VERIFIED</x:v>
      </x:c>
      <x:c r="D73" s="179" t="str">
        <x:v>2026-09-15</x:v>
      </x:c>
      <x:c r="E73" s="179" t="str">
        <x:v>Excel/document anomaly examples; not uniform end-to-end uptime records.</x:v>
      </x:c>
    </x:row>
    <x:row r="74" ht="70" customHeight="1">
      <x:c r="A74" s="180" t="str">
        <x:v>https://www.ncei.noaa.gov/sites/default/files/2025-08/NCEI_Space_Weather_Products.pdf</x:v>
      </x:c>
      <x:c r="B74" s="180" t="str">
        <x:v>Verified Additions!V-01</x:v>
      </x:c>
      <x:c r="C74" s="180" t="str">
        <x:v>PAGE / DOCUMENT VERIFIED</x:v>
      </x:c>
      <x:c r="D74" s="180" t="str">
        <x:v>2026-09-15</x:v>
      </x:c>
      <x:c r="E74" s="180" t="str">
        <x:v>9-page inventory parsed; coverage/cadence claims are catalog metadata, not continuity checks.</x:v>
      </x:c>
    </x:row>
    <x:row r="75" ht="70" customHeight="1">
      <x:c r="A75" s="179" t="str">
        <x:v>https://www.nesdis.noaa.gov/about/documents-reports/notice-of-changes/2025-notice-of-changes/dmsp-space-weather-products</x:v>
      </x:c>
      <x:c r="B75" s="179" t="str">
        <x:v>Verified Additions!V-06</x:v>
      </x:c>
      <x:c r="C75" s="179" t="str">
        <x:v>PAGE / DOCUMENT VERIFIED</x:v>
      </x:c>
      <x:c r="D75" s="179" t="str">
        <x:v>2026-09-15</x:v>
      </x:c>
      <x:c r="E75" s="179" t="str">
        <x:v>Official notice: new DMSP space-weather distribution suspended; historical archive remains.</x:v>
      </x:c>
    </x:row>
    <x:row r="76" ht="70" customHeight="1">
      <x:c r="A76" s="180" t="str">
        <x:v>https://www.sansa.org.za/products-and-services/space-science/</x:v>
      </x:c>
      <x:c r="B76" s="180" t="str">
        <x:v>Intl Data Requests!J14</x:v>
      </x:c>
      <x:c r="C76" s="180" t="str">
        <x:v>PAGE / DOCUMENT VERIFIED</x:v>
      </x:c>
      <x:c r="D76" s="180" t="str">
        <x:v>2026-09-15</x:v>
      </x:c>
      <x:c r="E76" s="180" t="str">
        <x:v>Agency science page; Kate's separate reply limits direct network-data scope.</x:v>
      </x:c>
    </x:row>
    <x:row r="77" ht="70" customHeight="1">
      <x:c r="A77" s="179" t="str">
        <x:v>https://www.sda.mil/department-of-defense-releases-defense-space-strategy/</x:v>
      </x:c>
      <x:c r="B77" s="179" t="str">
        <x:v>Screenshot References!G10</x:v>
      </x:c>
      <x:c r="C77" s="179" t="str">
        <x:v>NOT CHECKED THIS PASS</x:v>
      </x:c>
      <x:c r="D77" s="179" t="str"/>
      <x:c r="E77" s="179" t="str">
        <x:v>Existing bibliographic record retained. Current URL reachability and full text not checked in this pass.</x:v>
      </x:c>
    </x:row>
    <x:row r="78" ht="70" customHeight="1">
      <x:c r="A78" s="180" t="str">
        <x:v>https://www.spaceweather.gov/products/planetary-k-index</x:v>
      </x:c>
      <x:c r="B78" s="180" t="str">
        <x:v>Research Artifacts!E10</x:v>
      </x:c>
      <x:c r="C78" s="180" t="str">
        <x:v>NOT CHECKED THIS PASS</x:v>
      </x:c>
      <x:c r="D78" s="180" t="str"/>
      <x:c r="E78" s="180" t="str">
        <x:v>Existing bibliographic record retained. Current URL reachability and full text not checked in this pass.</x:v>
      </x:c>
    </x:row>
    <x:row r="79" ht="70" customHeight="1">
      <x:c r="A79" s="179" t="str">
        <x:v>https://www.sws.bom.gov.au/Contact_Us</x:v>
      </x:c>
      <x:c r="B79" s="179" t="str">
        <x:v>Intl Data Requests!J12</x:v>
      </x:c>
      <x:c r="C79" s="179" t="str">
        <x:v>PAGE / DOCUMENT VERIFIED</x:v>
      </x:c>
      <x:c r="D79" s="179" t="str">
        <x:v>2026-09-15</x:v>
      </x:c>
      <x:c r="E79" s="179" t="str">
        <x:v>Contact information only.</x:v>
      </x:c>
    </x:row>
    <x:row r="80" ht="70" customHeight="1">
      <x:c r="A80" s="180" t="str">
        <x:v>https://www.ussf-cfc.spaceforce.mil/News/Article-Display/Article/2329221/space-force-releases-1st-doctrine-defines-spacepower-as-distinct-form-of-milita</x:v>
      </x:c>
      <x:c r="B80" s="180" t="str">
        <x:v>Screenshot References!G8</x:v>
      </x:c>
      <x:c r="C80" s="180" t="str">
        <x:v>NOT CHECKED THIS PASS</x:v>
      </x:c>
      <x:c r="D80" s="180" t="str"/>
      <x:c r="E80" s="180" t="str">
        <x:v>Existing bibliographic record retained. Current URL reachability and full text not checked in this pass.</x:v>
      </x:c>
    </x:row>
    <x:row r="81">
      <x:c r="A81" s="123" t="str">
        <x:v>https://www.ncei.noaa.gov/products/space-weather/ionospheric-program/total-electron-content</x:v>
      </x:c>
      <x:c r="B81" s="123" t="str">
        <x:v>Verified Additions!V-14</x:v>
      </x:c>
      <x:c r="C81" s="123" t="str">
        <x:v>PAGE / DOCUMENT VERIFIED</x:v>
      </x:c>
      <x:c r="D81" s="123" t="str">
        <x:v>2026-09-15</x:v>
      </x:c>
      <x:c r="E81" s="123" t="str">
        <x:v>Official GloTEC/US-TEC product page; data portal is dynamic, numerical file not parsed.</x:v>
      </x:c>
    </x:row>
    <x:row r="82">
      <x:c r="A82" s="123" t="str">
        <x:v>https://www.ncei.noaa.gov/products/space-weather/legacy-data/mirrion-2-real-time-ionosonde</x:v>
      </x:c>
      <x:c r="B82" s="123" t="str">
        <x:v>Verified Additions!V-15</x:v>
      </x:c>
      <x:c r="C82" s="123" t="str">
        <x:v>PAGE / DOCUMENT VERIFIED</x:v>
      </x:c>
      <x:c r="D82" s="123" t="str">
        <x:v>2026-09-15</x:v>
      </x:c>
      <x:c r="E82" s="123" t="str">
        <x:v>Main Mirrion page works; some legacy child links return 404/cache errors.</x:v>
      </x:c>
    </x:row>
    <x:row r="83">
      <x:c r="A83" s="123" t="str">
        <x:v>https://www.ngdc.noaa.gov/stp/space-weather/swpc-products/daily_reports/space_weather_event_reports/</x:v>
      </x:c>
      <x:c r="B83" s="123" t="str">
        <x:v>Verified Additions!V-16</x:v>
      </x:c>
      <x:c r="C83" s="123" t="str">
        <x:v>PAGE / DOCUMENT VERIFIED</x:v>
      </x:c>
      <x:c r="D83" s="123" t="str">
        <x:v>2026-09-15</x:v>
      </x:c>
      <x:c r="E83" s="123" t="str">
        <x:v>Annual archive directories 2011–2026 verified.</x:v>
      </x:c>
    </x:row>
    <x:row r="84">
      <x:c r="A84" s="123" t="str">
        <x:v>https://www.spaceweather.gov/products/solar-and-geophysical-activity-summary</x:v>
      </x:c>
      <x:c r="B84" s="123" t="str">
        <x:v>Verified Additions!V-17</x:v>
      </x:c>
      <x:c r="C84" s="123" t="str">
        <x:v>PAGE / DOCUMENT VERIFIED</x:v>
      </x:c>
      <x:c r="D84" s="123" t="str">
        <x:v>2026-09-15</x:v>
      </x:c>
      <x:c r="E84" s="123" t="str">
        <x:v>Current SGAS product page verified; historical text route referenced by page.</x:v>
      </x:c>
    </x:row>
    <x:row r="85">
      <x:c r="A85" s="123" t="str">
        <x:v>https://www.spaceweather.gov/</x:v>
      </x:c>
      <x:c r="B85" s="123" t="str">
        <x:v>Companion data register / NCEI follow-up</x:v>
      </x:c>
      <x:c r="C85" s="123" t="str">
        <x:v>PAGE / DOCUMENT VERIFIED</x:v>
      </x:c>
      <x:c r="D85" s="123" t="str">
        <x:v>2026-09-15</x:v>
      </x:c>
      <x:c r="E85" s="123" t="str">
        <x:v>Current SWPC homepage reached; contextual portal only.</x:v>
      </x:c>
    </x:row>
    <x:row r="86">
      <x:c r="A86" s="123" t="str">
        <x:v>https://data.ngdc.noaa.gov/platforms/solar-space-observing-satellites/goes/goes18/l2/data/xrsf-l2-avg1m_science/</x:v>
      </x:c>
      <x:c r="B86" s="123" t="str">
        <x:v>Verified Additions!V-02 / companion data register</x:v>
      </x:c>
      <x:c r="C86" s="123" t="str">
        <x:v>PAGE / DOCUMENT VERIFIED</x:v>
      </x:c>
      <x:c r="D86" s="123" t="str">
        <x:v>2026-09-15</x:v>
      </x:c>
      <x:c r="E86" s="123" t="str">
        <x:v>Direct XRS 1-minute science directory verified; annual 2024 NetCDF listed.</x:v>
      </x:c>
    </x:row>
    <x:row r="87">
      <x:c r="A87" t="str">
        <x:v>https://data.gov.au/</x:v>
      </x:c>
      <x:c r="B87" t="str">
        <x:v>Verified Additions!V-21</x:v>
      </x:c>
      <x:c r="C87" t="str">
        <x:v>PROVIDER-CONFIRMED PUBLIC ROUTE</x:v>
      </x:c>
      <x:c r="D87" t="str">
        <x:v>2026-09-23</x:v>
      </x:c>
      <x:c r="E87" t="str">
        <x:v>ACCC Broadband Performance Team directs researchers to search 'Measuring Broadband Australia' for historical public releases.</x:v>
      </x:c>
    </x:row>
    <x:row r="88">
      <x:c r="A88" t="str">
        <x:v>https://www.accc.gov.au/about-us/contact-us-or-report-an-issue</x:v>
      </x:c>
      <x:c r="B88" t="str">
        <x:v>Companion data register / ACCC follow-up</x:v>
      </x:c>
      <x:c r="C88" t="str">
        <x:v>OFFICIAL CONTACT ROUTE</x:v>
      </x:c>
      <x:c r="D88" t="str">
        <x:v>2026-09-23</x:v>
      </x:c>
      <x:c r="E88" t="str">
        <x:v>General ACCC contact route for any follow-up beyond the concluded MBA mailbox/program.</x:v>
      </x:c>
    </x:row>
  </x:sheetData>
  <x:mergeCells>
    <x:mergeCell ref="A1:E1"/>
    <x:mergeCell ref="A2:E2"/>
  </x:mergeCells>
  <x:conditionalFormatting sqref="C5:C80">
    <x:cfRule type="expression" dxfId="46" priority="1">
      <x:formula>$C5="PAGE / DOCUMENT VERIFIED"</x:formula>
    </x:cfRule>
    <x:cfRule type="expression" dxfId="47" priority="2">
      <x:formula>$C5="NOT CHECKED THIS PASS"</x:formula>
    </x:cfRule>
    <x:cfRule type="expression" dxfId="48" priority="3">
      <x:formula>$C5="SHELL ONLY"</x:formula>
    </x:cfRule>
    <x:cfRule type="expression" dxfId="49" priority="4">
      <x:formula>$C5="FETCH / PARSE UNRESOLVED"</x:formula>
    </x:cfRule>
    <x:cfRule type="expression" dxfId="50" priority="5">
      <x:formula>$C5="RESTRICTED"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36821f9a5d479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05" hidden="0" customWidth="1"/>
  </x:cols>
  <x:sheetData>
    <x:row r="1" ht="30" customHeight="1">
      <x:c r="A1" s="171" t="str">
        <x:v>VERIFICATION GUIDE | Citations are not datasets</x:v>
      </x:c>
      <x:c r="B1" s="171"/>
    </x:row>
    <x:row r="2" ht="42" customHeight="1">
      <x:c r="A2" s="174" t="str">
        <x:v>15 Sep 2026 · Research relevance and data readiness are different dimensions. Use the companion data register for sample/field acceptance.</x:v>
      </x:c>
      <x:c r="B2" s="174"/>
    </x:row>
    <x:row r="4" ht="30" customHeight="1">
      <x:c r="A4" s="176" t="str">
        <x:v>Item</x:v>
      </x:c>
      <x:c r="B4" s="176" t="str">
        <x:v>Current position</x:v>
      </x:c>
    </x:row>
    <x:row r="5" ht="48" customHeight="1">
      <x:c r="A5" s="179" t="str">
        <x:v>What changed</x:v>
      </x:c>
      <x:c r="B5" s="179" t="str">
        <x:v>NCEI product inventory/ReadMe/schema and relevant onboard/learning-method source records added. URL checks logged separately.</x:v>
      </x:c>
    </x:row>
    <x:row r="6" ht="48" customHeight="1">
      <x:c r="A6" s="180" t="str">
        <x:v>What stayed unchanged</x:v>
      </x:c>
      <x:c r="B6" s="180" t="str">
        <x:v>The 31 original GWU research records, scores, heat bands, AIS pairings and hybrid formulas remain intact. This pass does not authenticate every original title.</x:v>
      </x:c>
    </x:row>
    <x:row r="7" ht="48" customHeight="1">
      <x:c r="A7" s="179" t="str">
        <x:v>Citation leads versus citations</x:v>
      </x:c>
      <x:c r="B7" s="179" t="str">
        <x:v>The original screenshot entries remain leads wherever an exact author/title/year/DOI has not been established. No silent replacement by a different report.</x:v>
      </x:c>
    </x:row>
    <x:row r="8" ht="48" customHeight="1">
      <x:c r="A8" s="180" t="str">
        <x:v>Data-role key</x:v>
      </x:c>
      <x:c r="B8" s="180" t="str">
        <x:v>A/direct network: green. B/AI task management: purple. C/environment: blue. D/reference or referral: gray. Restricted: red. Pending access: amber, not an academic-progress alarm.</x:v>
      </x:c>
    </x:row>
    <x:row r="9" ht="48" customHeight="1">
      <x:c r="A9" s="179" t="str">
        <x:v>Actual evidence boundary</x:v>
      </x:c>
      <x:c r="B9" s="179" t="str">
        <x:v>Web pages, repository listings, JSON metadata and selected data dictionaries were inspected. No numerical observation file was parsed or adopted.</x:v>
      </x:c>
    </x:row>
    <x:row r="10" ht="48" customHeight="1">
      <x:c r="A10" s="180" t="str">
        <x:v>Onboard versus other AI</x:v>
      </x:c>
      <x:c r="B10" s="180" t="str">
        <x:v>JPL ASE is historical flight autonomy. UVic FEC/scheduling are trace-driven network methods. Horizon predicts network performance; it is not an orbital orchestration layer.</x:v>
      </x:c>
    </x:row>
    <x:row r="11" ht="48" customHeight="1">
      <x:c r="A11" s="179" t="str">
        <x:v>NCEI response</x:v>
      </x:c>
      <x:c r="B11" s="179" t="str">
        <x:v>Josh's reply is preserved in the data workbook from screenshots; the NAC forward contains Carlo's original request. Engineering-performance records are excluded by NCEI, not by all NOAA organizations.</x:v>
      </x:c>
    </x:row>
    <x:row r="12" ht="48" customHeight="1">
      <x:c r="A12" s="180" t="str">
        <x:v>Companion workbook</x:v>
      </x:c>
      <x:c r="B12" s="180" t="str">
        <x:v>International_Domestic_Research_Data_Register_2026-09-15_v11_Verified.xlsx</x:v>
      </x:c>
    </x:row>
    <x:row r="13" ht="48" customHeight="1">
      <x:c r="A13" s="179" t="str">
        <x:v>Source citations</x:v>
      </x:c>
      <x:c r="B13" s="179" t="str">
        <x:v>Preserve dataset DOI/version, product dates, access date, license and exact filename. Cite imported data plus relevant methods—not a contact webpage as a dataset.</x:v>
      </x:c>
    </x:row>
    <x:row r="14" ht="48" customHeight="1">
      <x:c r="A14" s="180" t="str">
        <x:v>New source records</x:v>
      </x:c>
      <x:c r="B14" s="180" t="n">
        <x:f>COUNTA('Verified Additions'!A5:A17)</x:f>
        <x:v>13</x:v>
      </x:c>
    </x:row>
    <x:row r="15" ht="48" customHeight="1">
      <x:c r="A15" s="179" t="str">
        <x:v>Audited/inventoried URLs</x:v>
      </x:c>
      <x:c r="B15" s="179" t="n">
        <x:f>COUNTA('URL Audit'!A5:A80)</x:f>
        <x:v>76</x:v>
      </x:c>
    </x:row>
    <x:row r="16" ht="48" customHeight="1">
      <x:c r="A16" s="180" t="str">
        <x:v>URLs checked this pass</x:v>
      </x:c>
      <x:c r="B16" s="180" t="n">
        <x:f>COUNTA('URL Audit'!A5:A80)-COUNTIF('URL Audit'!C5:C80,"NOT CHECKED THIS PASS")</x:f>
        <x:v>30</x:v>
      </x:c>
    </x:row>
    <x:row r="17" ht="48" customHeight="1">
      <x:c r="A17" s="179" t="str">
        <x:v>Remaining URL checks</x:v>
      </x:c>
      <x:c r="B17" s="179" t="n">
        <x:f>COUNTIF('URL Audit'!C5:C80,"NOT CHECKED THIS PASS")</x:f>
        <x:v>46</x:v>
      </x:c>
    </x:row>
    <x:row r="18" ht="48" customHeight="1">
      <x:c r="A18" s="180" t="str">
        <x:v>Next action</x:v>
      </x:c>
      <x:c r="B18" s="180" t="str">
        <x:v>Import one primary network sample and one environmental sample, then document units, endpoints, time normalization and missing-data rules before analysis.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43c7115b77934e9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18.80000305175781" hidden="0" customHeight="1">
      <x:c r="A1" s="192" t="str">
        <x:v>AUSTRALIA — ACCC / MEASURING BROADBAND AUSTRALIA</x:v>
      </x:c>
      <x:c r="B1" s="192"/>
    </x:row>
    <x:row r="2" ht="26.399999618530273" hidden="0" customHeight="1">
      <x:c r="A2" s="123" t="str">
        <x:v>Configuration date</x:v>
      </x:c>
      <x:c r="B2" s="123" t="str">
        <x:v>23 Sep 2026</x:v>
      </x:c>
    </x:row>
    <x:row r="3" ht="132" hidden="0" customHeight="1">
      <x:c r="A3" s="123" t="str">
        <x:v>Provider</x:v>
      </x:c>
      <x:c r="B3" s="123" t="str">
        <x:v>Australian Competition and Consumer Commission — Broadband Performance Team</x:v>
      </x:c>
    </x:row>
    <x:row r="4" ht="184.8000030517578" hidden="0" customHeight="1">
      <x:c r="A4" s="123" t="str">
        <x:v>Official response</x:v>
      </x:c>
      <x:c r="B4" s="123" t="str">
        <x:v>More fulsome MBA performance data are publicly released on data.gov.au beyond aggregate report tables.</x:v>
      </x:c>
    </x:row>
    <x:row r="5" ht="26.399999618530273" hidden="0" customHeight="1">
      <x:c r="A5" s="123" t="str">
        <x:v>Public locator</x:v>
      </x:c>
      <x:c r="B5" s="123" t="str">
        <x:v>https://data.gov.au/</x:v>
      </x:c>
    </x:row>
    <x:row r="6" ht="39.599998474121094" hidden="0" customHeight="1">
      <x:c r="A6" s="123" t="str">
        <x:v>Search term</x:v>
      </x:c>
      <x:c r="B6" s="123" t="str">
        <x:v>Measuring Broadband Australia</x:v>
      </x:c>
    </x:row>
    <x:row r="7" ht="145.1999969482422" hidden="0" customHeight="1">
      <x:c r="A7" s="123" t="str">
        <x:v>Research-use terms</x:v>
      </x:c>
      <x:c r="B7" s="123" t="str">
        <x:v>No special conditions required for public data; appropriately attribute MBA performance data.</x:v>
      </x:c>
    </x:row>
    <x:row r="8" ht="92.4000015258789" hidden="0" customHeight="1">
      <x:c r="A8" s="123" t="str">
        <x:v>Program status</x:v>
      </x:c>
      <x:c r="B8" s="123" t="str">
        <x:v>Concluded June 2026 — finite/static historical source</x:v>
      </x:c>
    </x:row>
    <x:row r="9" ht="132" hidden="0" customHeight="1">
      <x:c r="A9" s="123" t="str">
        <x:v>Research role</x:v>
      </x:c>
      <x:c r="B9" s="123" t="str">
        <x:v>Direct COMM / Starlink historical validation and candidate DES parameter source</x:v>
      </x:c>
    </x:row>
    <x:row r="10" ht="132" hidden="0" customHeight="1">
      <x:c r="A10" s="123" t="str">
        <x:v>Readiness</x:v>
      </x:c>
      <x:c r="B10" s="123" t="str">
        <x:v>2 — provider-confirmed public route; numerical Starlink release not yet inspected</x:v>
      </x:c>
    </x:row>
    <x:row r="11" ht="264" hidden="0" customHeight="1">
      <x:c r="A11" s="123" t="str">
        <x:v>Next action</x:v>
      </x:c>
      <x:c r="B11" s="123" t="str">
        <x:v>Download one Starlink-containing release; inspect latency, throughput, packet loss, outage metrics, timestamps/cadence, geography and missing/outage semantics.</x:v>
      </x:c>
    </x:row>
    <x:row r="12" ht="184.8000030517578" hidden="0" customHeight="1">
      <x:c r="A12" s="123" t="str">
        <x:v>Boundary</x:v>
      </x:c>
      <x:c r="B12" s="123" t="str">
        <x:v>Do not assume public releases are raw/minimally aggregated. Do not infer outage from missing records.</x:v>
      </x:c>
    </x:row>
    <x:row r="13" ht="105.5999984741211" hidden="0" customHeight="1">
      <x:c r="A13" s="123" t="str">
        <x:v>Contact</x:v>
      </x:c>
      <x:c r="B13" s="123" t="str">
        <x:v>Broadband Performance Team • BroadbandPerformance@accc.gov.au</x:v>
      </x:c>
    </x:row>
    <x:row r="14">
      <x:c r="A14"/>
      <x:c r="B14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197" t="str">
        <x:v>FINLAND / UNIVERSITY OF OULU — DATA AVAILABILITY UPDATE</x:v>
      </x:c>
      <x:c r="B1" s="123"/>
    </x:row>
    <x:row r="2">
      <x:c r="A2" s="198" t="str">
        <x:v>Configuration date</x:v>
      </x:c>
      <x:c r="B2" s="123" t="str">
        <x:v>23 September 2026</x:v>
      </x:c>
    </x:row>
    <x:row r="3">
      <x:c r="A3" s="198" t="str">
        <x:v>Respondent</x:v>
      </x:c>
      <x:c r="B3" s="123" t="str">
        <x:v>Harri Saarnisaari</x:v>
      </x:c>
    </x:row>
    <x:row r="4">
      <x:c r="A4" s="198" t="str">
        <x:v>Prior candidate</x:v>
      </x:c>
      <x:c r="B4" s="123" t="str">
        <x:v>Stationary/mobile Starlink performance around Oulu</x:v>
      </x:c>
    </x:row>
    <x:row r="5">
      <x:c r="A5" s="198" t="str">
        <x:v>Provider finding</x:v>
      </x:c>
      <x:c r="B5" s="123" t="str">
        <x:v>Underlying historical data are no longer available and were not saved.</x:v>
      </x:c>
    </x:row>
    <x:row r="6">
      <x:c r="A6" s="198" t="str">
        <x:v>Data-fit status</x:v>
      </x:c>
      <x:c r="B6" s="123" t="str">
        <x:v>NOT AVAILABLE FOR NUMERICAL DES INGESTION</x:v>
      </x:c>
    </x:row>
    <x:row r="7">
      <x:c r="A7" s="198" t="str">
        <x:v>Literature status</x:v>
      </x:c>
      <x:c r="B7" s="123" t="str">
        <x:v>Retain published paper as contextual/measured-performance evidence.</x:v>
      </x:c>
    </x:row>
    <x:row r="8">
      <x:c r="A8" s="198" t="str">
        <x:v>Readiness</x:v>
      </x:c>
      <x:c r="B8" s="123" t="str">
        <x:v>1 — source/contact confirmed; no numerical sample available</x:v>
      </x:c>
    </x:row>
    <x:row r="9">
      <x:c r="A9" s="198" t="str">
        <x:v>Acquisition status</x:v>
      </x:c>
      <x:c r="B9" s="123" t="str">
        <x:v>CLOSED</x:v>
      </x:c>
    </x:row>
    <x:row r="10">
      <x:c r="A10" s="198" t="str">
        <x:v>Next action</x:v>
      </x:c>
      <x:c r="B10" s="123" t="str">
        <x:v>None unless an independent archive is later discovered.</x:v>
      </x:c>
    </x:row>
  </x:sheetData>
  <x:mergeCells>
    <x:mergeCell ref="A1:B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208" t="str">
        <x:v>SWEDEN / KARLSTAD UNIVERSITY — STARLINK OWD PROVIDER UPDATE</x:v>
      </x:c>
      <x:c r="B1" s="208"/>
    </x:row>
    <x:row r="2">
      <x:c r="A2" s="209" t="str">
        <x:v>Configuration date</x:v>
      </x:c>
      <x:c r="B2" s="123" t="str">
        <x:v>28 September 2026</x:v>
      </x:c>
    </x:row>
    <x:row r="3">
      <x:c r="A3" s="209" t="str">
        <x:v>Provider response date</x:v>
      </x:c>
      <x:c r="B3" s="123" t="str">
        <x:v>27 September 2026</x:v>
      </x:c>
    </x:row>
    <x:row r="4">
      <x:c r="A4" s="209" t="str">
        <x:v>Respondent</x:v>
      </x:c>
      <x:c r="B4" s="123" t="str">
        <x:v>Johan Garcia — Karlstad University</x:v>
      </x:c>
    </x:row>
    <x:row r="5">
      <x:c r="A5" s="209" t="str">
        <x:v>Location</x:v>
      </x:c>
      <x:c r="B5" s="123" t="str">
        <x:v>Karlstad, Sweden; Starlink user terminal measurements collected there in April 2025</x:v>
      </x:c>
    </x:row>
    <x:row r="6">
      <x:c r="A6" s="209" t="str">
        <x:v>Primary dataset</x:v>
      </x:c>
      <x:c r="B6" s="123" t="str">
        <x:v>Dataset for "A Detailed Characterization of Starlink One-way Delay" — DOI 10.5281/zenodo.16275284</x:v>
      </x:c>
    </x:row>
    <x:row r="7">
      <x:c r="A7" s="209" t="str">
        <x:v>Direct ACE fit</x:v>
      </x:c>
      <x:c r="B7" s="123" t="str">
        <x:v>C — COMM: measured uplink and downlink one-way delay</x:v>
      </x:c>
    </x:row>
    <x:row r="8">
      <x:c r="A8" s="209" t="str">
        <x:v>Derived fit</x:v>
      </x:c>
      <x:c r="B8" s="123" t="str">
        <x:v>RTT may be derived only with careful per-sample UL/DL pairing because link scheduling matters</x:v>
      </x:c>
    </x:row>
    <x:row r="9">
      <x:c r="A9" s="209" t="str">
        <x:v>Variability / tails</x:v>
      </x:c>
      <x:c r="B9" s="123" t="str">
        <x:v>Provider confirms statistical characterization can be computed from the full dataset</x:v>
      </x:c>
    </x:row>
    <x:row r="10">
      <x:c r="A10" s="209" t="str">
        <x:v>Interruption / non-response</x:v>
      </x:c>
      <x:c r="B10" s="123" t="str">
        <x:v>Sequence-number examination can inform this, but missing sequence numbers are not automatically packet loss; HW timestamp-readout failures must be excluded</x:v>
      </x:c>
    </x:row>
    <x:row r="11">
      <x:c r="A11" s="209" t="str">
        <x:v>Reconfiguration / recovery</x:v>
      </x:c>
      <x:c r="B11" s="123" t="str">
        <x:v>Latency reconfiguration effects are represented in the paper and can support scenario characterization</x:v>
      </x:c>
    </x:row>
    <x:row r="12">
      <x:c r="A12" s="209" t="str">
        <x:v>Missing-data statement</x:v>
      </x:c>
      <x:c r="B12" s="123" t="str">
        <x:v>Provider knows of no missing data due collection issues; retain Zenodo README caveat on sequence-number omission from failed HW timestamp readout</x:v>
      </x:c>
    </x:row>
    <x:row r="13">
      <x:c r="A13" s="209" t="str">
        <x:v>Throughput companion</x:v>
      </x:c>
      <x:c r="B13" s="123" t="str">
        <x:v>Garcia et al. (2025), Computer Communications 234, 108090 — DOI 10.1016/j.comcom.2025.108090</x:v>
      </x:c>
    </x:row>
    <x:row r="14">
      <x:c r="A14" s="209" t="str">
        <x:v>ACE simultaneity boundary</x:v>
      </x:c>
      <x:c r="B14" s="123" t="str">
        <x:v>NOT simultaneous with current 28 Jan 2022 OPS-SAT AI/ML + SatNOGS + OMNI event; use for COMM calibration/validation or separate experiments</x:v>
      </x:c>
    </x:row>
    <x:row r="15">
      <x:c r="A15" s="209" t="str">
        <x:v>Readiness</x:v>
      </x:c>
      <x:c r="B15" s="123" t="str">
        <x:v>2 — fields/docs/provider semantics confirmed; bulk numerical sample not yet imported</x:v>
      </x:c>
    </x:row>
    <x:row r="16">
      <x:c r="A16" s="209" t="str">
        <x:v>Next action</x:v>
      </x:c>
      <x:c r="B16" s="123" t="str">
        <x:v>Import a bounded UL/DL sample; verify seq_nr/timestamps/units; test empirical OWD distributions; inspect companion throughput model/repository</x:v>
      </x:c>
    </x:row>
  </x:sheetData>
  <x:mergeCells>
    <x:mergeCell ref="A1:B1"/>
  </x:mergeCells>
  <x:pageMargins left="0.7" right="0.7" top="0.75" bottom="0.75" header="0.3" footer="0.3"/>
</x:worksheet>
</file>