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ea856cd3654f43" /></Relationships>
</file>

<file path=xl/workbook.xml><?xml version="1.0" encoding="utf-8"?>
<x:workbook xmlns:x="http://schemas.openxmlformats.org/spreadsheetml/2006/main">
  <x:sheets>
    <x:sheet xmlns:r="http://schemas.openxmlformats.org/officeDocument/2006/relationships" name="Summary" sheetId="1" r:id="R6f6623aa943b42ff"/>
    <x:sheet xmlns:r="http://schemas.openxmlformats.org/officeDocument/2006/relationships" name="POC Register" sheetId="2" r:id="Rac2256b90aff476f"/>
    <x:sheet xmlns:r="http://schemas.openxmlformats.org/officeDocument/2006/relationships" name="Research Fit" sheetId="3" r:id="R944b10a0541b4939"/>
    <x:sheet xmlns:r="http://schemas.openxmlformats.org/officeDocument/2006/relationships" name="Follow-Up Emails" sheetId="4" r:id="R31263d093f874a62"/>
    <x:sheet xmlns:r="http://schemas.openxmlformats.org/officeDocument/2006/relationships" name="SANSA Update 13 Sep" sheetId="5" r:id="R859617da9af643f5"/>
    <x:sheet xmlns:r="http://schemas.openxmlformats.org/officeDocument/2006/relationships" name="Australia Update 13 Sep" sheetId="6" r:id="Raa0a4f211edd4cb5"/>
    <x:sheet xmlns:r="http://schemas.openxmlformats.org/officeDocument/2006/relationships" name="Australia Sources" sheetId="7" r:id="R8c0e9cbe83e340fc"/>
    <x:sheet xmlns:r="http://schemas.openxmlformats.org/officeDocument/2006/relationships" name="SANSA RFI Sent 13 Sep" sheetId="8" r:id="Ra36333a326904717"/>
    <x:sheet xmlns:r="http://schemas.openxmlformats.org/officeDocument/2006/relationships" name="Source Status" sheetId="9" r:id="R273e0916d1594e90"/>
    <x:sheet xmlns:r="http://schemas.openxmlformats.org/officeDocument/2006/relationships" name="Advisor Feedback" sheetId="10" r:id="Rcb935c1b8376428d"/>
    <x:sheet xmlns:r="http://schemas.openxmlformats.org/officeDocument/2006/relationships" name="Slide Update Log" sheetId="11" r:id="R44e434ceb7674c3c"/>
    <x:sheet xmlns:r="http://schemas.openxmlformats.org/officeDocument/2006/relationships" name="Battle Rhythm" sheetId="12" r:id="R898d7a9ddc514c2f"/>
    <x:sheet xmlns:r="http://schemas.openxmlformats.org/officeDocument/2006/relationships" name="SANSA Update 14 Sep" sheetId="13" r:id="R0dcf480b78924cde"/>
    <x:sheet xmlns:r="http://schemas.openxmlformats.org/officeDocument/2006/relationships" name="Expansion 14 Sep" sheetId="14" r:id="R94f219b7f3af4fb3"/>
    <x:sheet xmlns:r="http://schemas.openxmlformats.org/officeDocument/2006/relationships" name="Expansion Index" sheetId="15" r:id="Rcaecd4873b704fdc"/>
    <x:sheet xmlns:r="http://schemas.openxmlformats.org/officeDocument/2006/relationships" name="Reference Intake 14 Sep" sheetId="16" r:id="R6dc2bbf958df452a"/>
    <x:sheet xmlns:r="http://schemas.openxmlformats.org/officeDocument/2006/relationships" name="Verified Work Locators" sheetId="17" r:id="Re3546a1f2e6c4b3d"/>
    <x:sheet xmlns:r="http://schemas.openxmlformats.org/officeDocument/2006/relationships" name="Japan Update 14 Sep" sheetId="18" r:id="R71474582ff084648"/>
    <x:sheet xmlns:r="http://schemas.openxmlformats.org/officeDocument/2006/relationships" name="Remote Index 15 Sep" sheetId="19" r:id="Rd23cf1cbdd1e481b"/>
    <x:sheet xmlns:r="http://schemas.openxmlformats.org/officeDocument/2006/relationships" name="Remote Sources 15 Sep" sheetId="20" r:id="Rb05f0941dc8d4bdf"/>
    <x:sheet xmlns:r="http://schemas.openxmlformats.org/officeDocument/2006/relationships" name="Domestic Contacts" sheetId="21" r:id="R026b3ce8e3f441d6"/>
    <x:sheet xmlns:r="http://schemas.openxmlformats.org/officeDocument/2006/relationships" name="Access and Sampling" sheetId="22" r:id="R743ca17c5d774d51"/>
    <x:sheet xmlns:r="http://schemas.openxmlformats.org/officeDocument/2006/relationships" name="Source Directory" sheetId="23" r:id="R5233749872bf4b18"/>
    <x:sheet xmlns:r="http://schemas.openxmlformats.org/officeDocument/2006/relationships" name="Update Log 15 Sep" sheetId="24" r:id="R148ac2dd033b4ba4"/>
    <x:sheet xmlns:r="http://schemas.openxmlformats.org/officeDocument/2006/relationships" name="NCEI Update 15 Sep" sheetId="25" r:id="R9f3d0b50613b41c3"/>
    <x:sheet xmlns:r="http://schemas.openxmlformats.org/officeDocument/2006/relationships" name="Data Triage" sheetId="26" r:id="R8c7f72dfd4154ab0"/>
    <x:sheet xmlns:r="http://schemas.openxmlformats.org/officeDocument/2006/relationships" name="Link Checks" sheetId="27" r:id="R493070d19d864a18"/>
    <x:sheet xmlns:r="http://schemas.openxmlformats.org/officeDocument/2006/relationships" name="Field Verification" sheetId="28" r:id="R9f69fda319574e0b"/>
    <x:sheet xmlns:r="http://schemas.openxmlformats.org/officeDocument/2006/relationships" name="Usability Guide" sheetId="29" r:id="Rcc814eda90144fee"/>
    <x:sheet xmlns:r="http://schemas.openxmlformats.org/officeDocument/2006/relationships" name="M-Lab Update 22 Sep" sheetId="30" r:id="R7fb99d94d4e94a4e"/>
    <x:sheet xmlns:r="http://schemas.openxmlformats.org/officeDocument/2006/relationships" name="Patagonia Update 22 Sep" sheetId="31" r:id="Rafc8f03d9d0e4cfc"/>
    <x:sheet xmlns:r="http://schemas.openxmlformats.org/officeDocument/2006/relationships" name="ACCC Update 23 Sep" sheetId="32" r:id="Rb8520702cac44725"/>
    <x:sheet xmlns:r="http://schemas.openxmlformats.org/officeDocument/2006/relationships" name="Finland Update 23 Sep" sheetId="33" r:id="Rb2d7aedb5e5a44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mmm d, yyyy"/>
    <x:numFmt numFmtId="202" formatCode="yyyy-mm-dd hh:mm:ss"/>
    <x:numFmt numFmtId="203" formatCode="dd mmm yyyy"/>
  </x:numFmts>
  <x:fonts count="39">
    <x:font>
      <x:sz val="11"/>
      <x:name val="Carlito"/>
    </x:font>
    <x:font>
      <x:b/>
      <x:sz val="10"/>
      <x:color rgb="FFFFFFFF"/>
      <x:name val="Carlito"/>
    </x:font>
    <x:font>
      <x:sz val="9"/>
      <x:color rgb="FF1F2937"/>
      <x:name val="Carlito"/>
    </x:font>
    <x:font>
      <x:b/>
      <x:sz val="9"/>
      <x:color rgb="FF1F2937"/>
      <x:name val="Carlito"/>
    </x:font>
    <x:font>
      <x:b/>
      <x:sz val="18"/>
      <x:color rgb="FFFFFFFF"/>
      <x:name val="Carlito"/>
    </x:font>
    <x:font>
      <x:i/>
      <x:sz val="10"/>
      <x:color rgb="FF1F2937"/>
      <x:name val="Carlito"/>
    </x:font>
    <x:font>
      <x:b/>
      <x:sz val="11"/>
      <x:color rgb="FFFFFFFF"/>
      <x:name val="Carlito"/>
    </x:font>
    <x:font>
      <x:b/>
      <x:sz val="11"/>
      <x:color rgb="FF1F2937"/>
      <x:name val="Carlito"/>
    </x:font>
    <x:font>
      <x:sz val="10"/>
      <x:color rgb="FF1F2937"/>
      <x:name val="Carlito"/>
    </x:font>
    <x:font>
      <x:b/>
      <x:sz val="13"/>
      <x:color rgb="FFFFFFFF"/>
      <x:name val="Carlito"/>
    </x:font>
    <x:font>
      <x:b/>
      <x:sz val="15"/>
      <x:color rgb="FFFFFFFF"/>
      <x:name val="Carlito"/>
    </x:font>
    <x:font>
      <x:i/>
      <x:sz val="11"/>
      <x:name val="Carlito"/>
    </x:font>
    <x:font>
      <x:sz val="11"/>
      <x:name val="Calibri"/>
    </x:font>
    <x:font>
      <x:b/>
      <x:sz val="17"/>
      <x:color rgb="FFFFFFFF"/>
      <x:name val="Calibri"/>
    </x:font>
    <x:font>
      <x:b/>
      <x:sz val="11"/>
      <x:color rgb="FF17365D"/>
      <x:name val="Calibri"/>
    </x:font>
    <x:font>
      <x:b/>
      <x:sz val="11"/>
      <x:name val="Calibri"/>
    </x:font>
    <x:font>
      <x:b/>
      <x:sz val="11"/>
      <x:color rgb="FF243746"/>
      <x:name val="Carlito"/>
    </x:font>
    <x:font>
      <x:b/>
      <x:sz val="10"/>
      <x:color rgb="FF17365D"/>
      <x:name val="Carlito"/>
    </x:font>
    <x:font>
      <x:b/>
      <x:sz val="17"/>
      <x:color rgb="FFFFFFFF"/>
      <x:name val="Carlito"/>
    </x:font>
    <x:font>
      <x:b/>
      <x:sz val="11"/>
      <x:color rgb="FF17365D"/>
      <x:name val="Carlito"/>
    </x:font>
    <x:font>
      <x:b/>
      <x:sz val="11"/>
      <x:name val="Carlito"/>
    </x:font>
    <x:font>
      <x:b/>
      <x:sz val="16"/>
      <x:color rgb="FFFFFFFF"/>
      <x:name val="Carlito"/>
    </x:font>
    <x:font>
      <x:i/>
      <x:sz val="10"/>
      <x:name val="Carlito"/>
    </x:font>
    <x:font>
      <x:sz val="10"/>
      <x:name val="Carlito"/>
    </x:font>
    <x:font>
      <x:sz val="10"/>
      <x:color rgb="FFFF0000"/>
      <x:name val="Times New Roman"/>
    </x:font>
    <x:font>
      <x:sz val="10"/>
      <x:color rgb="FF000000"/>
      <x:name val="Times New Roman"/>
    </x:font>
    <x:font>
      <x:sz val="11"/>
      <x:color rgb="FF17365D"/>
      <x:name val="Carlito"/>
    </x:font>
    <x:font>
      <x:sz val="11"/>
      <x:color rgb="FF172A3B"/>
      <x:name val="Calibri"/>
    </x:font>
    <x:font>
      <x:b/>
      <x:sz val="18"/>
      <x:color rgb="FFFFFFFF"/>
      <x:name val="Calibri"/>
    </x:font>
    <x:font>
      <x:b/>
      <x:sz val="12"/>
      <x:color rgb="FFFFFFFF"/>
      <x:name val="Calibri"/>
    </x:font>
    <x:font>
      <x:b/>
      <x:sz val="11"/>
      <x:color rgb="FF172A3B"/>
      <x:name val="Calibri"/>
    </x:font>
    <x:font>
      <x:b/>
      <x:sz val="11"/>
      <x:color rgb="FFFFFFFF"/>
      <x:name val="Calibri"/>
    </x:font>
    <x:font>
      <x:sz val="10"/>
      <x:name val="Calibri"/>
    </x:font>
    <x:font>
      <x:b/>
      <x:sz val="10"/>
      <x:name val="Calibri"/>
    </x:font>
    <x:font>
      <x:sz val="11"/>
      <x:color rgb="FF243746"/>
      <x:name val="Carlito"/>
    </x:font>
    <x:font>
      <x:sz val="11"/>
      <x:color rgb="FF0563C1"/>
      <x:name val="Carlito"/>
    </x:font>
    <x:font>
      <x:sz val="11"/>
      <x:color rgb="FF0563C1"/>
      <x:name val="Calibri"/>
    </x:font>
    <x:font>
      <x:b/>
      <x:sz val="12"/>
      <x:color rgb="FF17365D"/>
      <x:name val="Carlito"/>
    </x:font>
    <x:font>
      <x:b/>
      <x:sz val="12"/>
      <x:color rgb="FFFFFFFF"/>
      <x:name val="Carlito"/>
    </x:font>
  </x:fonts>
  <x:fills count="65">
    <x:fill>
      <x:patternFill patternType="none"/>
    </x:fill>
    <x:fill>
      <x:patternFill patternType="gray125"/>
    </x:fill>
    <x:fill>
      <x:patternFill patternType="solid">
        <x:fgColor rgb="FF17365D"/>
      </x:patternFill>
    </x:fill>
    <x:fill>
      <x:patternFill patternType="solid">
        <x:fgColor rgb="FFE2F0D9"/>
      </x:patternFill>
    </x:fill>
    <x:fill>
      <x:patternFill patternType="solid">
        <x:fgColor rgb="FFFFF2CC"/>
      </x:patternFill>
    </x:fill>
    <x:fill>
      <x:patternFill patternType="solid">
        <x:fgColor rgb="FFE7E6E6"/>
      </x:patternFill>
    </x:fill>
    <x:fill>
      <x:patternFill patternType="solid">
        <x:fgColor rgb="FFDDEBF7"/>
      </x:patternFill>
    </x:fill>
    <x:fill>
      <x:patternFill patternType="solid">
        <x:fgColor rgb="FFD9EAF7"/>
      </x:patternFill>
    </x:fill>
    <x:fill>
      <x:patternFill patternType="solid">
        <x:fgColor rgb="FF1F4E78"/>
      </x:patternFill>
    </x:fill>
    <x:fill>
      <x:patternFill patternType="solid">
        <x:fgColor rgb="FFF3F6FA"/>
      </x:patternFill>
    </x:fill>
    <x:fill>
      <x:patternFill patternType="solid">
        <x:fgColor rgb="FF17365D"/>
      </x:patternFill>
    </x:fill>
    <x:fill>
      <x:patternFill patternType="solid">
        <x:fgColor rgb="FFD9EAF7"/>
      </x:patternFill>
    </x:fill>
    <x:fill>
      <x:patternFill patternType="solid">
        <x:fgColor rgb="FFDCE6F1"/>
      </x:patternFill>
    </x:fill>
    <x:fill>
      <x:patternFill patternType="solid">
        <x:fgColor rgb="FFDDEBF7"/>
      </x:patternFill>
    </x:fill>
    <x:fill>
      <x:patternFill patternType="solid">
        <x:fgColor rgb="FF17365D"/>
      </x:patternFill>
    </x:fill>
    <x:fill>
      <x:patternFill patternType="solid">
        <x:fgColor rgb="FFF2F6FC"/>
      </x:patternFill>
    </x:fill>
    <x:fill>
      <x:patternFill patternType="solid">
        <x:fgColor rgb="FFFFFFFF"/>
      </x:patternFill>
    </x:fill>
    <x:fill>
      <x:patternFill patternType="solid">
        <x:fgColor rgb="FFDDEBF7"/>
      </x:patternFill>
    </x:fill>
    <x:fill>
      <x:patternFill patternType="solid">
        <x:fgColor rgb="FFF2F5F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17365D"/>
      </x:patternFill>
    </x:fill>
    <x:fill>
      <x:patternFill patternType="solid">
        <x:fgColor rgb="FFDDEBF7"/>
      </x:patternFill>
    </x:fill>
    <x:fill>
      <x:patternFill patternType="solid">
        <x:fgColor rgb="FFF2F6FC"/>
      </x:patternFill>
    </x:fill>
    <x:fill>
      <x:patternFill patternType="solid">
        <x:fgColor rgb="FFFFFFFF"/>
      </x:patternFill>
    </x:fill>
    <x:fill>
      <x:patternFill patternType="solid">
        <x:fgColor rgb="FF18395C"/>
      </x:patternFill>
    </x:fill>
    <x:fill>
      <x:patternFill patternType="solid">
        <x:fgColor rgb="FFDDEAF3"/>
      </x:patternFill>
    </x:fill>
    <x:fill>
      <x:patternFill patternType="solid">
        <x:fgColor rgb="FFF3F6FA"/>
      </x:patternFill>
    </x:fill>
    <x:fill>
      <x:patternFill patternType="solid">
        <x:fgColor rgb="FFDEEBF7"/>
      </x:patternFill>
    </x:fill>
    <x:fill>
      <x:patternFill patternType="solid">
        <x:fgColor rgb="FF17365D"/>
      </x:patternFill>
    </x:fill>
    <x:fill>
      <x:patternFill patternType="solid">
        <x:fgColor rgb="FFD9EAF7"/>
      </x:patternFill>
    </x:fill>
    <x:fill>
      <x:patternFill patternType="solid">
        <x:fgColor rgb="FFE7EEF5"/>
      </x:patternFill>
    </x:fill>
    <x:fill>
      <x:patternFill patternType="solid">
        <x:fgColor rgb="FF19395D"/>
      </x:patternFill>
    </x:fill>
    <x:fill>
      <x:patternFill patternType="solid">
        <x:fgColor rgb="FFDCEAF4"/>
      </x:patternFill>
    </x:fill>
    <x:fill>
      <x:patternFill patternType="solid">
        <x:fgColor rgb="FFF4F7FA"/>
      </x:patternFill>
    </x:fill>
    <x:fill>
      <x:patternFill patternType="solid">
        <x:fgColor rgb="FF17365D"/>
      </x:patternFill>
    </x:fill>
    <x:fill>
      <x:patternFill patternType="solid">
        <x:fgColor rgb="FFDCE6F1"/>
      </x:patternFill>
    </x:fill>
    <x:fill>
      <x:patternFill patternType="solid">
        <x:fgColor rgb="FFF2F6FA"/>
      </x:patternFill>
    </x:fill>
    <x:fill>
      <x:patternFill patternType="solid">
        <x:fgColor rgb="FFFFFFFF"/>
      </x:patternFill>
    </x:fill>
    <x:fill>
      <x:patternFill patternType="solid">
        <x:fgColor rgb="FF17365D"/>
      </x:patternFill>
    </x:fill>
    <x:fill>
      <x:patternFill patternType="solid">
        <x:fgColor rgb="FFDDEBF7"/>
      </x:patternFill>
    </x:fill>
    <x:fill>
      <x:patternFill patternType="solid">
        <x:fgColor rgb="FF1F4E78"/>
      </x:patternFill>
    </x:fill>
    <x:fill>
      <x:patternFill patternType="solid">
        <x:fgColor rgb="FFF3F6F9"/>
      </x:patternFill>
    </x:fill>
    <x:fill>
      <x:patternFill patternType="solid">
        <x:fgColor rgb="FFFFFFFF"/>
      </x:patternFill>
    </x:fill>
    <x:fill>
      <x:patternFill patternType="solid">
        <x:fgColor rgb="FF183A5E"/>
      </x:patternFill>
    </x:fill>
    <x:fill>
      <x:patternFill patternType="solid">
        <x:fgColor rgb="FFDFEAF3"/>
      </x:patternFill>
    </x:fill>
    <x:fill>
      <x:patternFill patternType="solid">
        <x:fgColor rgb="FF24597F"/>
      </x:patternFill>
    </x:fill>
    <x:fill>
      <x:patternFill patternType="solid">
        <x:fgColor rgb="FFFFF1C9"/>
      </x:patternFill>
    </x:fill>
    <x:fill>
      <x:patternFill patternType="solid">
        <x:fgColor rgb="FFF3F5F7"/>
      </x:patternFill>
    </x:fill>
    <x:fill>
      <x:patternFill patternType="solid">
        <x:fgColor rgb="FF17365D"/>
      </x:patternFill>
    </x:fill>
    <x:fill>
      <x:patternFill patternType="solid">
        <x:fgColor rgb="FFDCE6F1"/>
      </x:patternFill>
    </x:fill>
    <x:fill>
      <x:patternFill patternType="solid">
        <x:fgColor rgb="FFF1F5F9"/>
      </x:patternFill>
    </x:fill>
    <x:fill>
      <x:patternFill patternType="solid">
        <x:fgColor rgb="FFDCEAF7"/>
      </x:patternFill>
    </x:fill>
    <x:fill>
      <x:patternFill patternType="solid">
        <x:fgColor rgb="FFDDEEDB"/>
      </x:patternFill>
    </x:fill>
    <x:fill>
      <x:patternFill patternType="solid">
        <x:fgColor rgb="FFE7E9ED"/>
      </x:patternFill>
    </x:fill>
    <x:fill>
      <x:patternFill patternType="solid">
        <x:fgColor rgb="FFEADFF4"/>
      </x:patternFill>
    </x:fill>
    <x:fill>
      <x:patternFill patternType="solid">
        <x:fgColor rgb="FFF8D7DA"/>
      </x:patternFill>
    </x:fill>
    <x:fill>
      <x:patternFill patternType="solid">
        <x:fgColor rgb="FFE8EF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8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0" fillId="4"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200" fontId="3" fillId="6"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0" fillId="0" borderId="0" xfId="0" applyNumberFormat="1" applyFont="1" applyFill="1" applyBorder="1"/>
    <x:xf numFmtId="200" fontId="3" fillId="6" borderId="1" xfId="0" applyNumberFormat="1" applyFont="1" applyFill="1" applyBorder="1" applyAlignment="1">
      <x:alignment vertical="top" wrapText="1"/>
    </x:xf>
    <x:xf numFmtId="200" fontId="2" fillId="3" borderId="1" xfId="0" applyNumberFormat="1" applyFont="1" applyFill="1" applyBorder="1" applyAlignment="1">
      <x:alignment vertical="top" wrapText="1"/>
    </x:xf>
    <x:xf numFmtId="200" fontId="2" fillId="4" borderId="1"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0" fillId="0"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left"/>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left"/>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wrapText="1"/>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wrapText="1"/>
    </x:xf>
    <x:xf numFmtId="0" fontId="6" fillId="8" borderId="1" xfId="0" applyNumberFormat="1" applyFont="1" applyFill="1" applyBorder="1" applyAlignment="1">
      <x:alignment horizontal="center"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0" fillId="0" borderId="0" xfId="0" applyNumberFormat="1" applyFont="1" applyFill="1" applyBorder="1"/>
    <x:xf numFmtId="201" fontId="3" fillId="6" borderId="0" xfId="0" applyNumberFormat="1" applyFont="1" applyFill="1" applyBorder="1" applyAlignment="1">
      <x:alignment vertical="top" wrapText="1"/>
    </x:xf>
    <x:xf numFmtId="201" fontId="2" fillId="3" borderId="0" xfId="0" applyNumberFormat="1" applyFont="1" applyFill="1" applyBorder="1" applyAlignment="1">
      <x:alignment vertical="top" wrapText="1"/>
    </x:xf>
    <x:xf numFmtId="201" fontId="2" fillId="4"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left" vertical="top" wrapText="1"/>
    </x:xf>
    <x:xf numFmtId="0" fontId="9" fillId="10" borderId="0" xfId="0" applyNumberFormat="1" applyFont="1" applyFill="1" applyBorder="1" applyAlignment="1">
      <x:alignment horizontal="left"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horizontal="center" wrapText="1"/>
    </x:xf>
    <x:xf numFmtId="0" fontId="7"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10" borderId="0" xfId="0" applyNumberFormat="1" applyFont="1" applyFill="1" applyBorder="1"/>
    <x:xf numFmtId="0" fontId="10" fillId="10" borderId="0" xfId="0" applyNumberFormat="1" applyFont="1" applyFill="1" applyBorder="1"/>
    <x:xf numFmtId="0" fontId="0" fillId="12" borderId="0" xfId="0" applyNumberFormat="1" applyFont="1" applyFill="1" applyBorder="1"/>
    <x:xf numFmtId="0" fontId="11" fillId="12"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8"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horizontal="left" vertical="center" wrapText="1"/>
    </x:xf>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center" wrapText="1"/>
    </x:xf>
    <x:xf numFmtId="0" fontId="7" fillId="7" borderId="0" xfId="0" applyNumberFormat="1" applyFont="1" applyFill="1" applyBorder="1" applyAlignment="1">
      <x:alignment horizontal="center" vertical="center" wrapText="1"/>
    </x:xf>
    <x:xf numFmtId="0" fontId="1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2" fillId="13" borderId="0" xfId="0" applyNumberFormat="1" applyFont="1" applyFill="1" applyBorder="1" applyAlignment="1">
      <x:alignment vertical="top" wrapText="1"/>
    </x:xf>
    <x:xf numFmtId="0" fontId="12" fillId="0" borderId="0" xfId="0" applyNumberFormat="1" applyFont="1" applyFill="1" applyBorder="1"/>
    <x:xf numFmtId="0" fontId="12"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vertical="center"/>
    </x:xf>
    <x:xf numFmtId="0" fontId="12" fillId="13" borderId="0" xfId="0" applyNumberFormat="1" applyFont="1" applyFill="1" applyBorder="1"/>
    <x:xf numFmtId="0" fontId="14" fillId="13" borderId="0" xfId="0" applyNumberFormat="1" applyFont="1" applyFill="1" applyBorder="1"/>
    <x:xf numFmtId="0" fontId="14" fillId="13" borderId="0" xfId="0" applyNumberFormat="1" applyFont="1" applyFill="1" applyBorder="1" applyAlignment="1">
      <x:alignment wrapText="1"/>
    </x:xf>
    <x:xf numFmtId="0" fontId="14" fillId="13" borderId="0" xfId="0" applyNumberFormat="1" applyFont="1" applyFill="1" applyBorder="1" applyAlignment="1">
      <x:alignment vertical="center" wrapText="1"/>
    </x:xf>
    <x:xf numFmtId="0" fontId="12" fillId="15" borderId="0" xfId="0" applyNumberFormat="1" applyFont="1" applyFill="1" applyBorder="1"/>
    <x:xf numFmtId="0" fontId="12" fillId="15" borderId="0" xfId="0" applyNumberFormat="1" applyFont="1" applyFill="1" applyBorder="1" applyAlignment="1">
      <x:alignment wrapText="1"/>
    </x:xf>
    <x:xf numFmtId="0" fontId="12" fillId="15" borderId="0" xfId="0" applyNumberFormat="1" applyFont="1" applyFill="1" applyBorder="1" applyAlignment="1">
      <x:alignment vertical="center" wrapText="1"/>
    </x:xf>
    <x:xf numFmtId="0" fontId="15" fillId="15" borderId="0" xfId="0" applyNumberFormat="1" applyFont="1" applyFill="1" applyBorder="1" applyAlignment="1">
      <x:alignment vertical="center" wrapText="1"/>
    </x:xf>
    <x:xf numFmtId="0" fontId="12" fillId="16" borderId="0" xfId="0" applyNumberFormat="1" applyFont="1" applyFill="1" applyBorder="1"/>
    <x:xf numFmtId="0" fontId="12" fillId="16" borderId="0" xfId="0" applyNumberFormat="1" applyFont="1" applyFill="1" applyBorder="1" applyAlignment="1">
      <x:alignment wrapText="1"/>
    </x:xf>
    <x:xf numFmtId="0" fontId="12" fillId="16" borderId="0" xfId="0" applyNumberFormat="1" applyFont="1" applyFill="1" applyBorder="1" applyAlignment="1">
      <x:alignment vertical="center" wrapText="1"/>
    </x:xf>
    <x:xf numFmtId="0" fontId="15" fillId="16" borderId="0" xfId="0" applyNumberFormat="1" applyFont="1" applyFill="1" applyBorder="1" applyAlignment="1">
      <x:alignment vertical="center" wrapText="1"/>
    </x:xf>
    <x:xf numFmtId="0" fontId="12" fillId="2" borderId="0" xfId="0" applyNumberFormat="1" applyFont="1" applyFill="1" applyBorder="1"/>
    <x:xf numFmtId="0" fontId="13" fillId="2" borderId="0" xfId="0" applyNumberFormat="1" applyFont="1" applyFill="1" applyBorder="1"/>
    <x:xf numFmtId="0" fontId="13" fillId="2" borderId="0" xfId="0" applyNumberFormat="1" applyFont="1" applyFill="1" applyBorder="1" applyAlignment="1">
      <x:alignment vertical="center"/>
    </x:xf>
    <x:xf numFmtId="0" fontId="12" fillId="6" borderId="0" xfId="0" applyNumberFormat="1" applyFont="1" applyFill="1" applyBorder="1"/>
    <x:xf numFmtId="0" fontId="14" fillId="6" borderId="0" xfId="0" applyNumberFormat="1" applyFont="1" applyFill="1" applyBorder="1"/>
    <x:xf numFmtId="0" fontId="14" fillId="6" borderId="0" xfId="0" applyNumberFormat="1" applyFont="1" applyFill="1" applyBorder="1" applyAlignment="1">
      <x:alignment wrapText="1"/>
    </x:xf>
    <x:xf numFmtId="0" fontId="14" fillId="6" borderId="0" xfId="0" applyNumberFormat="1" applyFont="1" applyFill="1" applyBorder="1" applyAlignment="1">
      <x:alignment vertical="center" wrapText="1"/>
    </x:xf>
    <x:xf numFmtId="0" fontId="2" fillId="17" borderId="0" xfId="0" applyNumberFormat="1" applyFont="1" applyFill="1" applyBorder="1" applyAlignment="1">
      <x:alignment vertical="top" wrapText="1"/>
    </x:xf>
    <x:xf numFmtId="0" fontId="0" fillId="17" borderId="0" xfId="0" applyNumberFormat="1" applyFont="1" applyFill="1" applyBorder="1" applyAlignment="1">
      <x:alignment wrapText="1"/>
    </x:xf>
    <x:xf numFmtId="0" fontId="8" fillId="18" borderId="0" xfId="0" applyNumberFormat="1" applyFont="1" applyFill="1" applyBorder="1" applyAlignment="1">
      <x:alignment vertical="top" wrapText="1"/>
    </x:xf>
    <x:xf numFmtId="0" fontId="8" fillId="18" borderId="0" xfId="0" applyNumberFormat="1" applyFont="1" applyFill="1" applyBorder="1" applyAlignment="1">
      <x:alignment vertical="center" wrapText="1"/>
    </x:xf>
    <x:xf numFmtId="0" fontId="9" fillId="19" borderId="0" xfId="0" applyNumberFormat="1" applyFont="1" applyFill="1" applyBorder="1" applyAlignment="1">
      <x:alignment horizontal="left" vertical="center" wrapText="1"/>
    </x:xf>
    <x:xf numFmtId="0" fontId="8" fillId="20" borderId="0" xfId="0" applyNumberFormat="1" applyFont="1" applyFill="1" applyBorder="1" applyAlignment="1">
      <x:alignment vertical="top" wrapText="1"/>
    </x:xf>
    <x:xf numFmtId="0" fontId="8" fillId="20" borderId="0" xfId="0" applyNumberFormat="1" applyFont="1" applyFill="1" applyBorder="1" applyAlignment="1">
      <x:alignment vertical="center" wrapText="1"/>
    </x:xf>
    <x:xf numFmtId="0" fontId="7" fillId="21" borderId="0" xfId="0" applyNumberFormat="1" applyFont="1" applyFill="1" applyBorder="1" applyAlignment="1">
      <x:alignment horizontal="center" vertical="center" wrapText="1"/>
    </x:xf>
    <x:xf numFmtId="0" fontId="6" fillId="2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7" borderId="0" xfId="0" applyNumberFormat="1" applyFont="1" applyFill="1" applyBorder="1" applyAlignment="1">
      <x:alignment vertical="top" wrapText="1"/>
    </x:xf>
    <x:xf numFmtId="0" fontId="0" fillId="18" borderId="0" xfId="0" applyNumberFormat="1" applyFont="1" applyFill="1" applyBorder="1"/>
    <x:xf numFmtId="0" fontId="0" fillId="18" borderId="0" xfId="0" applyNumberFormat="1" applyFont="1" applyFill="1" applyBorder="1" applyAlignment="1">
      <x:alignment wrapText="1"/>
    </x:xf>
    <x:xf numFmtId="0" fontId="0" fillId="19" borderId="0" xfId="0" applyNumberFormat="1" applyFont="1" applyFill="1" applyBorder="1" applyAlignment="1">
      <x:alignment vertical="top" wrapText="1"/>
    </x:xf>
    <x:xf numFmtId="0" fontId="6" fillId="19"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16" fillId="20"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0" fontId="0" fillId="19" borderId="0" xfId="0" applyNumberFormat="1" applyFont="1" applyFill="1" applyBorder="1"/>
    <x:xf numFmtId="0" fontId="6" fillId="19" borderId="0" xfId="0" applyNumberFormat="1" applyFont="1" applyFill="1" applyBorder="1"/>
    <x:xf numFmtId="0" fontId="0" fillId="20" borderId="0" xfId="0" applyNumberFormat="1" applyFont="1" applyFill="1" applyBorder="1"/>
    <x:xf numFmtId="0" fontId="0" fillId="20"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6" fillId="21" borderId="0" xfId="0" applyNumberFormat="1" applyFont="1" applyFill="1" applyBorder="1" applyAlignment="1">
      <x:alignment wrapText="1"/>
    </x:xf>
    <x:xf numFmtId="0" fontId="8"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8" fillId="7" borderId="0" xfId="0" applyNumberFormat="1" applyFont="1" applyFill="1" applyBorder="1" applyAlignment="1">
      <x:alignment vertical="center" wrapText="1"/>
    </x:xf>
    <x:xf numFmtId="0" fontId="7" fillId="8" borderId="0" xfId="0" applyNumberFormat="1" applyFont="1" applyFill="1" applyBorder="1" applyAlignment="1">
      <x:alignment horizontal="center" vertical="center" wrapText="1"/>
    </x:xf>
    <x:xf numFmtId="0" fontId="6" fillId="8" borderId="0" xfId="0" applyNumberFormat="1" applyFont="1" applyFill="1" applyBorder="1" applyAlignment="1">
      <x:alignment horizontal="center" vertical="center" wrapText="1"/>
    </x:xf>
    <x:xf numFmtId="0" fontId="0"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7" borderId="0" xfId="0" applyNumberFormat="1" applyFont="1" applyFill="1" applyBorder="1" applyAlignment="1">
      <x:alignment wrapText="1"/>
    </x:xf>
    <x:xf numFmtId="0" fontId="8" fillId="7" borderId="0" xfId="0" applyNumberFormat="1" applyFont="1" applyFill="1" applyBorder="1" applyAlignment="1">
      <x:alignment horizontal="center" vertical="center" wrapText="1"/>
    </x:xf>
    <x:xf numFmtId="0" fontId="17" fillId="7" borderId="0" xfId="0" applyNumberFormat="1" applyFont="1" applyFill="1" applyBorder="1" applyAlignment="1">
      <x:alignment horizontal="center" vertical="center" wrapText="1"/>
    </x:xf>
    <x:xf numFmtId="0" fontId="0" fillId="23" borderId="0" xfId="0" applyNumberFormat="1" applyFont="1" applyFill="1" applyBorder="1"/>
    <x:xf numFmtId="0" fontId="18" fillId="23" borderId="0" xfId="0" applyNumberFormat="1" applyFont="1" applyFill="1" applyBorder="1"/>
    <x:xf numFmtId="0" fontId="0" fillId="24" borderId="0" xfId="0" applyNumberFormat="1" applyFont="1" applyFill="1" applyBorder="1"/>
    <x:xf numFmtId="0" fontId="19" fillId="24" borderId="0" xfId="0" applyNumberFormat="1" applyFont="1" applyFill="1" applyBorder="1"/>
    <x:xf numFmtId="0" fontId="19" fillId="24" borderId="0" xfId="0" applyNumberFormat="1" applyFont="1" applyFill="1" applyBorder="1" applyAlignment="1">
      <x:alignment wrapText="1"/>
    </x:xf>
    <x:xf numFmtId="0" fontId="0" fillId="25" borderId="0" xfId="0" applyNumberFormat="1" applyFont="1" applyFill="1" applyBorder="1"/>
    <x:xf numFmtId="0" fontId="0" fillId="25" borderId="0" xfId="0" applyNumberFormat="1" applyFont="1" applyFill="1" applyBorder="1" applyAlignment="1">
      <x:alignment wrapText="1"/>
    </x:xf>
    <x:xf numFmtId="0" fontId="0" fillId="25" borderId="0" xfId="0" applyNumberFormat="1" applyFont="1" applyFill="1" applyBorder="1" applyAlignment="1">
      <x:alignment vertical="top" wrapText="1"/>
    </x:xf>
    <x:xf numFmtId="0" fontId="20" fillId="25" borderId="0" xfId="0" applyNumberFormat="1" applyFont="1" applyFill="1" applyBorder="1" applyAlignment="1">
      <x:alignment vertical="top" wrapText="1"/>
    </x:xf>
    <x:xf numFmtId="0" fontId="0" fillId="26" borderId="0" xfId="0" applyNumberFormat="1" applyFont="1" applyFill="1" applyBorder="1"/>
    <x:xf numFmtId="0" fontId="0" fillId="26" borderId="0" xfId="0" applyNumberFormat="1" applyFont="1" applyFill="1" applyBorder="1" applyAlignment="1">
      <x:alignment wrapText="1"/>
    </x:xf>
    <x:xf numFmtId="0" fontId="0"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202" fontId="0" fillId="26" borderId="0" xfId="0" applyNumberFormat="1" applyFont="1" applyFill="1" applyBorder="1" applyAlignment="1">
      <x:alignment vertical="top" wrapText="1"/>
    </x:xf>
    <x:xf numFmtId="0" fontId="6" fillId="23" borderId="0" xfId="0" applyNumberFormat="1" applyFont="1" applyFill="1" applyBorder="1"/>
    <x:xf numFmtId="0" fontId="18" fillId="2" borderId="0" xfId="0" applyNumberFormat="1" applyFont="1" applyFill="1" applyBorder="1"/>
    <x:xf numFmtId="0" fontId="0" fillId="6" borderId="0" xfId="0" applyNumberFormat="1" applyFont="1" applyFill="1" applyBorder="1"/>
    <x:xf numFmtId="0" fontId="19" fillId="6" borderId="0" xfId="0" applyNumberFormat="1" applyFont="1" applyFill="1" applyBorder="1"/>
    <x:xf numFmtId="0" fontId="19" fillId="6" borderId="0" xfId="0" applyNumberFormat="1" applyFont="1" applyFill="1" applyBorder="1" applyAlignment="1">
      <x:alignment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5" borderId="0" xfId="0" applyNumberFormat="1" applyFont="1" applyFill="1" applyBorder="1" applyAlignment="1">
      <x:alignment vertical="top" wrapText="1"/>
    </x:xf>
    <x:xf numFmtId="0" fontId="20" fillId="15" borderId="0" xfId="0" applyNumberFormat="1" applyFont="1" applyFill="1" applyBorder="1" applyAlignment="1">
      <x:alignment vertical="top" wrapText="1"/>
    </x:xf>
    <x:xf numFmtId="0" fontId="0" fillId="16" borderId="0" xfId="0" applyNumberFormat="1" applyFont="1" applyFill="1" applyBorder="1"/>
    <x:xf numFmtId="0" fontId="0" fillId="16" borderId="0" xfId="0" applyNumberFormat="1" applyFont="1" applyFill="1" applyBorder="1" applyAlignment="1">
      <x:alignment wrapText="1"/>
    </x:xf>
    <x:xf numFmtId="0" fontId="20" fillId="16" borderId="0" xfId="0" applyNumberFormat="1" applyFont="1" applyFill="1" applyBorder="1" applyAlignment="1">
      <x:alignment vertical="top" wrapText="1"/>
    </x:xf>
    <x:xf numFmtId="202" fontId="0" fillId="16" borderId="0" xfId="0" applyNumberFormat="1" applyFont="1" applyFill="1" applyBorder="1" applyAlignment="1">
      <x:alignment vertical="top" wrapText="1"/>
    </x:xf>
    <x:xf numFmtId="0" fontId="0" fillId="27" borderId="0" xfId="0" applyNumberFormat="1" applyFont="1" applyFill="1" applyBorder="1"/>
    <x:xf numFmtId="0" fontId="21" fillId="27" borderId="0" xfId="0" applyNumberFormat="1" applyFont="1" applyFill="1" applyBorder="1"/>
    <x:xf numFmtId="0" fontId="0" fillId="28" borderId="0" xfId="0" applyNumberFormat="1" applyFont="1" applyFill="1" applyBorder="1"/>
    <x:xf numFmtId="0" fontId="22" fillId="28" borderId="0" xfId="0" applyNumberFormat="1" applyFont="1" applyFill="1" applyBorder="1"/>
    <x:xf numFmtId="0" fontId="22" fillId="28" borderId="0" xfId="0" applyNumberFormat="1" applyFont="1" applyFill="1" applyBorder="1" applyAlignment="1">
      <x:alignment wrapText="1"/>
    </x:xf>
    <x:xf numFmtId="0" fontId="1" fillId="27" borderId="0" xfId="0" applyNumberFormat="1" applyFont="1" applyFill="1" applyBorder="1"/>
    <x:xf numFmtId="0" fontId="1" fillId="27" borderId="0" xfId="0" applyNumberFormat="1" applyFont="1" applyFill="1" applyBorder="1" applyAlignment="1">
      <x:alignment wrapText="1"/>
    </x:xf>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203" fontId="23" fillId="29" borderId="0" xfId="0" applyNumberFormat="1" applyFont="1" applyFill="1" applyBorder="1" applyAlignment="1">
      <x:alignment vertical="top" wrapText="1"/>
    </x:xf>
    <x:xf numFmtId="203" fontId="23" fillId="0" borderId="0" xfId="0" applyNumberFormat="1" applyFont="1" applyFill="1" applyBorder="1" applyAlignment="1">
      <x:alignment vertical="top" wrapText="1"/>
    </x:xf>
    <x:xf numFmtId="0" fontId="24" fillId="29" borderId="0" xfId="0" applyNumberFormat="1" applyFont="1" applyFill="1" applyBorder="1" applyAlignment="1">
      <x:alignment vertical="top" wrapText="1"/>
    </x:xf>
    <x:xf numFmtId="0" fontId="24" fillId="0" borderId="0" xfId="0" applyNumberFormat="1" applyFont="1" applyFill="1" applyBorder="1" applyAlignment="1">
      <x:alignment vertical="top" wrapText="1"/>
    </x:xf>
    <x:xf numFmtId="0" fontId="25" fillId="29"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3" fillId="28" borderId="0" xfId="0" applyNumberFormat="1" applyFont="1" applyFill="1" applyBorder="1"/>
    <x:xf numFmtId="0" fontId="23" fillId="28" borderId="0" xfId="0" applyNumberFormat="1" applyFont="1" applyFill="1" applyBorder="1" applyAlignment="1">
      <x:alignment wrapText="1"/>
    </x:xf>
    <x:xf numFmtId="203" fontId="0" fillId="0" borderId="0" xfId="0" applyNumberFormat="1" applyFont="1" applyFill="1" applyBorder="1"/>
    <x:xf numFmtId="0" fontId="23" fillId="9" borderId="0" xfId="0" applyNumberFormat="1" applyFont="1" applyFill="1" applyBorder="1" applyAlignment="1">
      <x:alignment vertical="top" wrapText="1"/>
    </x:xf>
    <x:xf numFmtId="203" fontId="23" fillId="9" borderId="0" xfId="0" applyNumberFormat="1" applyFont="1" applyFill="1" applyBorder="1" applyAlignment="1">
      <x:alignment vertical="top" wrapText="1"/>
    </x:xf>
    <x:xf numFmtId="0" fontId="24" fillId="9" borderId="0" xfId="0" applyNumberFormat="1" applyFont="1" applyFill="1" applyBorder="1" applyAlignment="1">
      <x:alignment vertical="top" wrapText="1"/>
    </x:xf>
    <x:xf numFmtId="0" fontId="25" fillId="9"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31" borderId="0" xfId="0" applyNumberFormat="1" applyFont="1" applyFill="1" applyBorder="1" applyAlignment="1">
      <x:alignment vertical="center" wrapText="1"/>
    </x:xf>
    <x:xf numFmtId="0" fontId="6" fillId="31" borderId="0" xfId="0" applyNumberFormat="1" applyFont="1" applyFill="1" applyBorder="1" applyAlignment="1">
      <x:alignment vertical="center" wrapText="1"/>
    </x:xf>
    <x:xf numFmtId="0" fontId="0" fillId="32" borderId="0" xfId="0" applyNumberFormat="1" applyFont="1" applyFill="1" applyBorder="1" applyAlignment="1">
      <x:alignment vertical="center" wrapText="1"/>
    </x:xf>
    <x:xf numFmtId="0" fontId="26" fillId="32" borderId="0" xfId="0" applyNumberFormat="1" applyFont="1" applyFill="1" applyBorder="1" applyAlignment="1">
      <x:alignment vertical="center" wrapText="1"/>
    </x:xf>
    <x:xf numFmtId="0" fontId="0" fillId="33" borderId="0" xfId="0" applyNumberFormat="1" applyFont="1" applyFill="1" applyBorder="1" applyAlignment="1">
      <x:alignment vertical="center" wrapText="1"/>
    </x:xf>
    <x:xf numFmtId="0" fontId="20" fillId="33"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2"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26" fillId="7" borderId="0" xfId="0" applyNumberFormat="1" applyFont="1" applyFill="1" applyBorder="1" applyAlignment="1">
      <x:alignment vertical="center" wrapText="1"/>
    </x:xf>
    <x:xf numFmtId="0" fontId="27" fillId="0" borderId="0" xfId="0" applyNumberFormat="1" applyFont="1" applyFill="1" applyBorder="1"/>
    <x:xf numFmtId="0" fontId="27" fillId="0" borderId="0" xfId="0" applyNumberFormat="1" applyFont="1" applyFill="1" applyBorder="1" applyAlignment="1">
      <x:alignment wrapText="1"/>
    </x:xf>
    <x:xf numFmtId="0" fontId="27" fillId="0" borderId="0" xfId="0" applyNumberFormat="1" applyFont="1" applyFill="1" applyBorder="1" applyAlignment="1">
      <x:alignment vertical="top" wrapText="1"/>
    </x:xf>
    <x:xf numFmtId="0" fontId="27" fillId="34" borderId="0" xfId="0" applyNumberFormat="1" applyFont="1" applyFill="1" applyBorder="1" applyAlignment="1">
      <x:alignment vertical="top" wrapText="1"/>
    </x:xf>
    <x:xf numFmtId="0" fontId="28" fillId="34" borderId="0" xfId="0" applyNumberFormat="1" applyFont="1" applyFill="1" applyBorder="1" applyAlignment="1">
      <x:alignment vertical="top" wrapText="1"/>
    </x:xf>
    <x:xf numFmtId="0" fontId="27" fillId="35" borderId="0" xfId="0" applyNumberFormat="1" applyFont="1" applyFill="1" applyBorder="1" applyAlignment="1">
      <x:alignment vertical="top" wrapText="1"/>
    </x:xf>
    <x:xf numFmtId="0" fontId="29" fillId="34" borderId="0" xfId="0" applyNumberFormat="1" applyFont="1" applyFill="1" applyBorder="1" applyAlignment="1">
      <x:alignment vertical="top" wrapText="1"/>
    </x:xf>
    <x:xf numFmtId="0" fontId="30" fillId="0" borderId="0" xfId="0" applyNumberFormat="1" applyFont="1" applyFill="1" applyBorder="1" applyAlignment="1">
      <x:alignment vertical="top" wrapText="1"/>
    </x:xf>
    <x:xf numFmtId="0" fontId="30" fillId="36" borderId="0" xfId="0" applyNumberFormat="1" applyFont="1" applyFill="1" applyBorder="1" applyAlignment="1">
      <x:alignment vertical="top" wrapText="1"/>
    </x:xf>
    <x:xf numFmtId="0" fontId="27" fillId="36" borderId="0" xfId="0" applyNumberFormat="1" applyFont="1" applyFill="1" applyBorder="1" applyAlignment="1">
      <x:alignment vertical="top" wrapText="1"/>
    </x:xf>
    <x:xf numFmtId="0" fontId="31" fillId="34" borderId="0" xfId="0" applyNumberFormat="1" applyFont="1" applyFill="1" applyBorder="1" applyAlignment="1">
      <x:alignment vertical="top" wrapText="1"/>
    </x:xf>
    <x:xf numFmtId="0" fontId="13" fillId="34"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3" fillId="6" borderId="0" xfId="0" applyNumberFormat="1" applyFont="1" applyFill="1" applyBorder="1" applyAlignment="1">
      <x:alignment vertical="top" wrapText="1"/>
    </x:xf>
    <x:xf numFmtId="0" fontId="32" fillId="0" borderId="0" xfId="0" applyNumberFormat="1" applyFont="1" applyFill="1" applyBorder="1"/>
    <x:xf numFmtId="0" fontId="32" fillId="0" borderId="0" xfId="0" applyNumberFormat="1" applyFont="1" applyFill="1" applyBorder="1" applyAlignment="1">
      <x:alignment wrapText="1"/>
    </x:xf>
    <x:xf numFmtId="0" fontId="32" fillId="0" borderId="0" xfId="0" applyNumberFormat="1" applyFont="1" applyFill="1" applyBorder="1" applyAlignment="1">
      <x:alignment vertical="top" wrapText="1"/>
    </x:xf>
    <x:xf numFmtId="203" fontId="32" fillId="0" borderId="0" xfId="0" applyNumberFormat="1" applyFont="1" applyFill="1" applyBorder="1" applyAlignment="1">
      <x:alignment vertical="top" wrapText="1"/>
    </x:xf>
    <x:xf numFmtId="0" fontId="0" fillId="37" borderId="0" xfId="0" applyNumberFormat="1" applyFont="1" applyFill="1" applyBorder="1"/>
    <x:xf numFmtId="0" fontId="21" fillId="37" borderId="0" xfId="0" applyNumberFormat="1" applyFont="1" applyFill="1" applyBorder="1"/>
    <x:xf numFmtId="0" fontId="0" fillId="38" borderId="0" xfId="0" applyNumberFormat="1" applyFont="1" applyFill="1" applyBorder="1"/>
    <x:xf numFmtId="0" fontId="22" fillId="38" borderId="0" xfId="0" applyNumberFormat="1" applyFont="1" applyFill="1" applyBorder="1"/>
    <x:xf numFmtId="0" fontId="22" fillId="38" borderId="0" xfId="0" applyNumberFormat="1" applyFont="1" applyFill="1" applyBorder="1" applyAlignment="1">
      <x:alignment wrapText="1"/>
    </x:xf>
    <x:xf numFmtId="0" fontId="1" fillId="37" borderId="0" xfId="0" applyNumberFormat="1" applyFont="1" applyFill="1" applyBorder="1"/>
    <x:xf numFmtId="0" fontId="0" fillId="39" borderId="0" xfId="0" applyNumberFormat="1" applyFont="1" applyFill="1" applyBorder="1"/>
    <x:xf numFmtId="0" fontId="32" fillId="39" borderId="0" xfId="0" applyNumberFormat="1" applyFont="1" applyFill="1" applyBorder="1"/>
    <x:xf numFmtId="0" fontId="32" fillId="39" borderId="0" xfId="0" applyNumberFormat="1" applyFont="1" applyFill="1" applyBorder="1" applyAlignment="1">
      <x:alignment wrapText="1"/>
    </x:xf>
    <x:xf numFmtId="0" fontId="32" fillId="39" borderId="0" xfId="0" applyNumberFormat="1" applyFont="1" applyFill="1" applyBorder="1" applyAlignment="1">
      <x:alignment vertical="top" wrapText="1"/>
    </x:xf>
    <x:xf numFmtId="0" fontId="0" fillId="40" borderId="0" xfId="0" applyNumberFormat="1" applyFont="1" applyFill="1" applyBorder="1"/>
    <x:xf numFmtId="0" fontId="32" fillId="40" borderId="0" xfId="0" applyNumberFormat="1" applyFont="1" applyFill="1" applyBorder="1"/>
    <x:xf numFmtId="0" fontId="32" fillId="40" borderId="0" xfId="0" applyNumberFormat="1" applyFont="1" applyFill="1" applyBorder="1" applyAlignment="1">
      <x:alignment wrapText="1"/>
    </x:xf>
    <x:xf numFmtId="0" fontId="32" fillId="40" borderId="0" xfId="0" applyNumberFormat="1" applyFont="1" applyFill="1" applyBorder="1" applyAlignment="1">
      <x:alignment vertical="top" wrapText="1"/>
    </x:xf>
    <x:xf numFmtId="0" fontId="33" fillId="39" borderId="0" xfId="0" applyNumberFormat="1" applyFont="1" applyFill="1" applyBorder="1" applyAlignment="1">
      <x:alignment vertical="top" wrapText="1"/>
    </x:xf>
    <x:xf numFmtId="0" fontId="33" fillId="40" borderId="0" xfId="0" applyNumberFormat="1" applyFont="1" applyFill="1" applyBorder="1" applyAlignment="1">
      <x:alignment vertical="top" wrapText="1"/>
    </x:xf>
    <x:xf numFmtId="0" fontId="21" fillId="2" borderId="0" xfId="0" applyNumberFormat="1" applyFont="1" applyFill="1" applyBorder="1"/>
    <x:xf numFmtId="0" fontId="22" fillId="12" borderId="0" xfId="0" applyNumberFormat="1" applyFont="1" applyFill="1" applyBorder="1"/>
    <x:xf numFmtId="0" fontId="22" fillId="12" borderId="0" xfId="0" applyNumberFormat="1" applyFont="1" applyFill="1" applyBorder="1" applyAlignment="1">
      <x:alignment wrapText="1"/>
    </x:xf>
    <x:xf numFmtId="0" fontId="32" fillId="16" borderId="0" xfId="0" applyNumberFormat="1" applyFont="1" applyFill="1" applyBorder="1"/>
    <x:xf numFmtId="0" fontId="32" fillId="16" borderId="0" xfId="0" applyNumberFormat="1" applyFont="1" applyFill="1" applyBorder="1" applyAlignment="1">
      <x:alignment wrapText="1"/>
    </x:xf>
    <x:xf numFmtId="0" fontId="32" fillId="16" borderId="0" xfId="0" applyNumberFormat="1" applyFont="1" applyFill="1" applyBorder="1" applyAlignment="1">
      <x:alignment vertical="top" wrapText="1"/>
    </x:xf>
    <x:xf numFmtId="0" fontId="33" fillId="16" borderId="0" xfId="0" applyNumberFormat="1" applyFont="1" applyFill="1" applyBorder="1" applyAlignment="1">
      <x:alignment vertical="top" wrapText="1"/>
    </x:xf>
    <x:xf numFmtId="0" fontId="34" fillId="0" borderId="0" xfId="0" applyNumberFormat="1" applyFont="1" applyFill="1" applyBorder="1"/>
    <x:xf numFmtId="0" fontId="34" fillId="0" borderId="0" xfId="0" applyNumberFormat="1" applyFont="1" applyFill="1" applyBorder="1" applyAlignment="1">
      <x:alignment wrapText="1"/>
    </x:xf>
    <x:xf numFmtId="0" fontId="34" fillId="0" borderId="0" xfId="0" applyNumberFormat="1" applyFont="1" applyFill="1" applyBorder="1" applyAlignment="1">
      <x:alignment vertical="top" wrapText="1"/>
    </x:xf>
    <x:xf numFmtId="0" fontId="34" fillId="41" borderId="0" xfId="0" applyNumberFormat="1" applyFont="1" applyFill="1" applyBorder="1" applyAlignment="1">
      <x:alignment vertical="top" wrapText="1"/>
    </x:xf>
    <x:xf numFmtId="0" fontId="21" fillId="41" borderId="0" xfId="0" applyNumberFormat="1" applyFont="1" applyFill="1" applyBorder="1" applyAlignment="1">
      <x:alignment vertical="top" wrapText="1"/>
    </x:xf>
    <x:xf numFmtId="0" fontId="34" fillId="42" borderId="0" xfId="0" applyNumberFormat="1" applyFont="1" applyFill="1" applyBorder="1" applyAlignment="1">
      <x:alignment vertical="top" wrapText="1"/>
    </x:xf>
    <x:xf numFmtId="0" fontId="34" fillId="43" borderId="0" xfId="0" applyNumberFormat="1" applyFont="1" applyFill="1" applyBorder="1" applyAlignment="1">
      <x:alignment vertical="top" wrapText="1"/>
    </x:xf>
    <x:xf numFmtId="0" fontId="6" fillId="43" borderId="0" xfId="0" applyNumberFormat="1" applyFont="1" applyFill="1" applyBorder="1" applyAlignment="1">
      <x:alignment vertical="top" wrapText="1"/>
    </x:xf>
    <x:xf numFmtId="0" fontId="34" fillId="44" borderId="0" xfId="0" applyNumberFormat="1" applyFont="1" applyFill="1" applyBorder="1" applyAlignment="1">
      <x:alignment vertical="top" wrapText="1"/>
    </x:xf>
    <x:xf numFmtId="0" fontId="34" fillId="45" borderId="0" xfId="0" applyNumberFormat="1" applyFont="1" applyFill="1" applyBorder="1" applyAlignment="1">
      <x:alignment vertical="top" wrapText="1"/>
    </x:xf>
    <x:xf numFmtId="0" fontId="16" fillId="42" borderId="0" xfId="0" applyNumberFormat="1" applyFont="1" applyFill="1" applyBorder="1" applyAlignment="1">
      <x:alignment vertical="top" wrapText="1"/>
    </x:xf>
    <x:xf numFmtId="0" fontId="35" fillId="44" borderId="0" xfId="0" applyNumberFormat="1" applyFont="1" applyFill="1" applyBorder="1" applyAlignment="1">
      <x:alignment vertical="top" wrapText="1"/>
    </x:xf>
    <x:xf numFmtId="0" fontId="35" fillId="45" borderId="0" xfId="0" applyNumberFormat="1" applyFont="1" applyFill="1" applyBorder="1" applyAlignment="1">
      <x:alignment vertical="top" wrapText="1"/>
    </x:xf>
    <x:xf numFmtId="0" fontId="34" fillId="2" borderId="0" xfId="0" applyNumberFormat="1" applyFont="1" applyFill="1" applyBorder="1" applyAlignment="1">
      <x:alignment vertical="top" wrapText="1"/>
    </x:xf>
    <x:xf numFmtId="0" fontId="21" fillId="2" borderId="0" xfId="0" applyNumberFormat="1" applyFont="1" applyFill="1" applyBorder="1" applyAlignment="1">
      <x:alignment vertical="top" wrapText="1"/>
    </x:xf>
    <x:xf numFmtId="0" fontId="34" fillId="6" borderId="0" xfId="0" applyNumberFormat="1" applyFont="1" applyFill="1" applyBorder="1" applyAlignment="1">
      <x:alignment vertical="top" wrapText="1"/>
    </x:xf>
    <x:xf numFmtId="0" fontId="34"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34" fillId="16" borderId="0"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0" fontId="35" fillId="16" borderId="0" xfId="0" applyNumberFormat="1" applyFont="1" applyFill="1" applyBorder="1" applyAlignment="1">
      <x:alignment vertical="top" wrapText="1"/>
    </x:xf>
    <x:xf numFmtId="0" fontId="12" fillId="46" borderId="0" xfId="0" applyNumberFormat="1" applyFont="1" applyFill="1" applyBorder="1"/>
    <x:xf numFmtId="0" fontId="13" fillId="46" borderId="0" xfId="0" applyNumberFormat="1" applyFont="1" applyFill="1" applyBorder="1"/>
    <x:xf numFmtId="0" fontId="12" fillId="47" borderId="0" xfId="0" applyNumberFormat="1" applyFont="1" applyFill="1" applyBorder="1"/>
    <x:xf numFmtId="0" fontId="12" fillId="47" borderId="0" xfId="0" applyNumberFormat="1" applyFont="1" applyFill="1" applyBorder="1" applyAlignment="1">
      <x:alignment wrapText="1"/>
    </x:xf>
    <x:xf numFmtId="0" fontId="12" fillId="47" borderId="0" xfId="0" applyNumberFormat="1" applyFont="1" applyFill="1" applyBorder="1" applyAlignment="1">
      <x:alignment vertical="center" wrapText="1"/>
    </x:xf>
    <x:xf numFmtId="0" fontId="12" fillId="48" borderId="0" xfId="0" applyNumberFormat="1" applyFont="1" applyFill="1" applyBorder="1"/>
    <x:xf numFmtId="0" fontId="31" fillId="48"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47" borderId="0" xfId="0" applyNumberFormat="1" applyFont="1" applyFill="1" applyBorder="1" applyAlignment="1">
      <x:alignment vertical="top" wrapText="1"/>
    </x:xf>
    <x:xf numFmtId="0" fontId="15" fillId="47" borderId="0" xfId="0" applyNumberFormat="1" applyFont="1" applyFill="1" applyBorder="1" applyAlignment="1">
      <x:alignment vertical="top" wrapText="1"/>
    </x:xf>
    <x:xf numFmtId="0" fontId="12" fillId="49" borderId="0" xfId="0" applyNumberFormat="1" applyFont="1" applyFill="1" applyBorder="1" applyAlignment="1">
      <x:alignment vertical="top" wrapText="1"/>
    </x:xf>
    <x:xf numFmtId="0" fontId="12" fillId="50" borderId="0" xfId="0" applyNumberFormat="1" applyFont="1" applyFill="1" applyBorder="1" applyAlignment="1">
      <x:alignment vertical="top" wrapText="1"/>
    </x:xf>
    <x:xf numFmtId="0" fontId="31" fillId="48" borderId="0" xfId="0" applyNumberFormat="1" applyFont="1" applyFill="1" applyBorder="1" applyAlignment="1">
      <x:alignment wrapText="1"/>
    </x:xf>
    <x:xf numFmtId="0" fontId="12" fillId="48" borderId="0" xfId="0" applyNumberFormat="1" applyFont="1" applyFill="1" applyBorder="1" applyAlignment="1">
      <x:alignment vertical="top" wrapText="1"/>
    </x:xf>
    <x:xf numFmtId="0" fontId="31" fillId="48" borderId="0" xfId="0" applyNumberFormat="1" applyFont="1" applyFill="1" applyBorder="1" applyAlignment="1">
      <x:alignment vertical="top" wrapText="1"/>
    </x:xf>
    <x:xf numFmtId="0" fontId="36" fillId="50" borderId="0" xfId="0" applyNumberFormat="1" applyFont="1" applyFill="1" applyBorder="1" applyAlignment="1">
      <x:alignment vertical="top" wrapText="1"/>
    </x:xf>
    <x:xf numFmtId="0" fontId="36" fillId="0" borderId="0" xfId="0" applyNumberFormat="1" applyFont="1" applyFill="1" applyBorder="1" applyAlignment="1">
      <x:alignment vertical="top" wrapText="1"/>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0" fillId="47" borderId="0" xfId="0" applyNumberFormat="1" applyFont="1" applyFill="1" applyBorder="1" applyAlignment="1">
      <x:alignment wrapText="1"/>
    </x:xf>
    <x:xf numFmtId="0" fontId="0" fillId="47" borderId="0" xfId="0" applyNumberFormat="1" applyFont="1" applyFill="1" applyBorder="1" applyAlignment="1">
      <x:alignment vertical="center" wrapText="1"/>
    </x:xf>
    <x:xf numFmtId="203" fontId="12" fillId="50" borderId="0" xfId="0" applyNumberFormat="1" applyFont="1" applyFill="1" applyBorder="1" applyAlignment="1">
      <x:alignment vertical="top" wrapText="1"/>
    </x:xf>
    <x:xf numFmtId="203" fontId="12" fillId="0" borderId="0" xfId="0" applyNumberFormat="1" applyFont="1" applyFill="1" applyBorder="1" applyAlignment="1">
      <x:alignment vertical="top" wrapText="1"/>
    </x:xf>
    <x:xf numFmtId="0" fontId="0" fillId="51" borderId="0" xfId="0" applyNumberFormat="1" applyFont="1" applyFill="1" applyBorder="1"/>
    <x:xf numFmtId="0" fontId="21" fillId="51" borderId="0" xfId="0" applyNumberFormat="1" applyFont="1" applyFill="1" applyBorder="1"/>
    <x:xf numFmtId="0" fontId="0" fillId="52" borderId="0" xfId="0" applyNumberFormat="1" applyFont="1" applyFill="1" applyBorder="1"/>
    <x:xf numFmtId="0" fontId="8" fillId="52" borderId="0" xfId="0" applyNumberFormat="1" applyFont="1" applyFill="1" applyBorder="1"/>
    <x:xf numFmtId="0" fontId="8" fillId="52" borderId="0" xfId="0" applyNumberFormat="1" applyFont="1" applyFill="1" applyBorder="1" applyAlignment="1">
      <x:alignment wrapText="1"/>
    </x:xf>
    <x:xf numFmtId="0" fontId="1" fillId="51" borderId="0" xfId="0" applyNumberFormat="1" applyFont="1" applyFill="1" applyBorder="1"/>
    <x:xf numFmtId="0" fontId="1" fillId="51"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53" borderId="0" xfId="0" applyNumberFormat="1" applyFont="1" applyFill="1" applyBorder="1" applyAlignment="1">
      <x:alignment vertical="top" wrapText="1"/>
    </x:xf>
    <x:xf numFmtId="0" fontId="12" fillId="54" borderId="0" xfId="0" applyNumberFormat="1" applyFont="1" applyFill="1" applyBorder="1" applyAlignment="1">
      <x:alignment vertical="top" wrapText="1"/>
    </x:xf>
    <x:xf numFmtId="0" fontId="12" fillId="55" borderId="0" xfId="0" applyNumberFormat="1" applyFont="1" applyFill="1" applyBorder="1" applyAlignment="1">
      <x:alignment vertical="top" wrapText="1"/>
    </x:xf>
    <x:xf numFmtId="0" fontId="12" fillId="56" borderId="0" xfId="0" applyNumberFormat="1" applyFont="1" applyFill="1" applyBorder="1" applyAlignment="1">
      <x:alignment vertical="top" wrapText="1"/>
    </x:xf>
    <x:xf numFmtId="0" fontId="12" fillId="57" borderId="0" xfId="0" applyNumberFormat="1" applyFont="1" applyFill="1" applyBorder="1" applyAlignment="1">
      <x:alignment vertical="top" wrapText="1"/>
    </x:xf>
    <x:xf numFmtId="0" fontId="12" fillId="58" borderId="0" xfId="0" applyNumberFormat="1" applyFont="1" applyFill="1" applyBorder="1" applyAlignment="1">
      <x:alignment vertical="top" wrapText="1"/>
    </x:xf>
    <x:xf numFmtId="0" fontId="0" fillId="54" borderId="0" xfId="0" applyNumberFormat="1" applyFont="1" applyFill="1" applyBorder="1" applyAlignment="1">
      <x:alignment wrapText="1"/>
    </x:xf>
    <x:xf numFmtId="0" fontId="8" fillId="59" borderId="0" xfId="0" applyNumberFormat="1" applyFont="1" applyFill="1" applyBorder="1" applyAlignment="1">
      <x:alignment vertical="top" wrapText="1"/>
    </x:xf>
    <x:xf numFmtId="0" fontId="37" fillId="59" borderId="0" xfId="0" applyNumberFormat="1" applyFont="1" applyFill="1" applyBorder="1" applyAlignment="1">
      <x:alignment vertical="top" wrapText="1"/>
    </x:xf>
    <x:xf numFmtId="0" fontId="8" fillId="55" borderId="0" xfId="0" applyNumberFormat="1" applyFont="1" applyFill="1" applyBorder="1" applyAlignment="1">
      <x:alignment vertical="top" wrapText="1"/>
    </x:xf>
    <x:xf numFmtId="0" fontId="8" fillId="57" borderId="0" xfId="0" applyNumberFormat="1" applyFont="1" applyFill="1" applyBorder="1" applyAlignment="1">
      <x:alignment vertical="top" wrapText="1"/>
    </x:xf>
    <x:xf numFmtId="0" fontId="8" fillId="54" borderId="0" xfId="0" applyNumberFormat="1" applyFont="1" applyFill="1" applyBorder="1" applyAlignment="1">
      <x:alignment vertical="top" wrapText="1"/>
    </x:xf>
    <x:xf numFmtId="0" fontId="8" fillId="56" borderId="0" xfId="0" applyNumberFormat="1" applyFont="1" applyFill="1" applyBorder="1" applyAlignment="1">
      <x:alignment vertical="top" wrapText="1"/>
    </x:xf>
    <x:xf numFmtId="0" fontId="8" fillId="58" borderId="0" xfId="0" applyNumberFormat="1" applyFont="1" applyFill="1" applyBorder="1" applyAlignment="1">
      <x:alignment vertical="top" wrapText="1"/>
    </x:xf>
    <x:xf numFmtId="0" fontId="0" fillId="54" borderId="0" xfId="0" applyNumberFormat="1" applyFont="1" applyFill="1" applyBorder="1"/>
    <x:xf numFmtId="0" fontId="20" fillId="54" borderId="0" xfId="0" applyNumberFormat="1" applyFont="1" applyFill="1" applyBorder="1"/>
    <x:xf numFmtId="0" fontId="20" fillId="54" borderId="0" xfId="0" applyNumberFormat="1" applyFont="1" applyFill="1" applyBorder="1" applyAlignment="1">
      <x:alignment wrapText="1"/>
    </x:xf>
    <x:xf numFmtId="0" fontId="0" fillId="53" borderId="0" xfId="0" applyNumberFormat="1" applyFont="1" applyFill="1" applyBorder="1"/>
    <x:xf numFmtId="0" fontId="23" fillId="53" borderId="0" xfId="0" applyNumberFormat="1" applyFont="1" applyFill="1" applyBorder="1"/>
    <x:xf numFmtId="0" fontId="23" fillId="53" borderId="0" xfId="0" applyNumberFormat="1" applyFont="1" applyFill="1" applyBorder="1" applyAlignment="1">
      <x:alignment wrapText="1"/>
    </x:xf>
    <x:xf numFmtId="0" fontId="0" fillId="59" borderId="0" xfId="0" applyNumberFormat="1" applyFont="1" applyFill="1" applyBorder="1"/>
    <x:xf numFmtId="0" fontId="23" fillId="59" borderId="0" xfId="0" applyNumberFormat="1" applyFont="1" applyFill="1" applyBorder="1"/>
    <x:xf numFmtId="0" fontId="23" fillId="59" borderId="0" xfId="0" applyNumberFormat="1" applyFont="1" applyFill="1" applyBorder="1" applyAlignment="1">
      <x:alignment wrapText="1"/>
    </x:xf>
    <x:xf numFmtId="0" fontId="19" fillId="59" borderId="0" xfId="0" applyNumberFormat="1" applyFont="1" applyFill="1" applyBorder="1"/>
    <x:xf numFmtId="0" fontId="19" fillId="59" borderId="0" xfId="0" applyNumberFormat="1" applyFont="1" applyFill="1" applyBorder="1" applyAlignment="1">
      <x:alignment wrapText="1"/>
    </x:xf>
    <x:xf numFmtId="0" fontId="8" fillId="12" borderId="0" xfId="0" applyNumberFormat="1" applyFont="1" applyFill="1" applyBorder="1"/>
    <x:xf numFmtId="0" fontId="8" fillId="12" borderId="0" xfId="0" applyNumberFormat="1" applyFont="1" applyFill="1" applyBorder="1" applyAlignment="1">
      <x:alignment wrapText="1"/>
    </x:xf>
    <x:xf numFmtId="0" fontId="0" fillId="60" borderId="0" xfId="0" applyNumberFormat="1" applyFont="1" applyFill="1" applyBorder="1"/>
    <x:xf numFmtId="0" fontId="38" fillId="60" borderId="0" xfId="0" applyNumberFormat="1" applyFont="1" applyFill="1" applyBorder="1"/>
    <x:xf numFmtId="0" fontId="38" fillId="60" borderId="0" xfId="0" applyNumberFormat="1" applyFont="1" applyFill="1" applyBorder="1" applyAlignment="1">
      <x:alignment horizontal="left"/>
    </x:xf>
    <x:xf numFmtId="0" fontId="38" fillId="60" borderId="0" xfId="0" applyNumberFormat="1" applyFont="1" applyFill="1" applyBorder="1" applyAlignment="1">
      <x:alignment horizontal="left" vertical="center"/>
    </x:xf>
    <x:xf numFmtId="0" fontId="0" fillId="61" borderId="0" xfId="0" applyNumberFormat="1" applyFont="1" applyFill="1" applyBorder="1"/>
    <x:xf numFmtId="0" fontId="20" fillId="61" borderId="0" xfId="0" applyNumberFormat="1" applyFont="1" applyFill="1" applyBorder="1"/>
    <x:xf numFmtId="0" fontId="38" fillId="60" borderId="0" xfId="0" applyNumberFormat="1" applyFont="1" applyFill="1" applyBorder="1" applyAlignment="1">
      <x:alignment horizontal="left" vertical="center" wrapText="1"/>
    </x:xf>
    <x:xf numFmtId="0" fontId="20" fillId="61" borderId="0" xfId="0" applyNumberFormat="1" applyFont="1" applyFill="1" applyBorder="1" applyAlignment="1">
      <x:alignment wrapText="1"/>
    </x:xf>
    <x:xf numFmtId="0" fontId="38" fillId="8" borderId="0" xfId="0" applyNumberFormat="1" applyFont="1" applyFill="1" applyBorder="1"/>
    <x:xf numFmtId="0" fontId="38" fillId="8" borderId="0" xfId="0" applyNumberFormat="1" applyFont="1" applyFill="1" applyBorder="1" applyAlignment="1">
      <x:alignment horizontal="left"/>
    </x:xf>
    <x:xf numFmtId="0" fontId="38" fillId="8" borderId="0" xfId="0" applyNumberFormat="1" applyFont="1" applyFill="1" applyBorder="1" applyAlignment="1">
      <x:alignment horizontal="left" vertical="center"/>
    </x:xf>
    <x:xf numFmtId="0" fontId="20" fillId="7" borderId="0" xfId="0" applyNumberFormat="1" applyFont="1" applyFill="1" applyBorder="1"/>
    <x:xf numFmtId="0" fontId="38" fillId="8" borderId="0" xfId="0" applyNumberFormat="1" applyFont="1" applyFill="1" applyBorder="1" applyAlignment="1">
      <x:alignment horizontal="left" vertical="center" wrapText="1"/>
    </x:xf>
    <x:xf numFmtId="0" fontId="20" fillId="7" borderId="0" xfId="0" applyNumberFormat="1" applyFont="1" applyFill="1" applyBorder="1" applyAlignment="1">
      <x:alignment wrapText="1"/>
    </x:xf>
    <x:xf numFmtId="0" fontId="0" fillId="62" borderId="0" xfId="0" applyNumberFormat="1" applyFont="1" applyFill="1" applyBorder="1" applyAlignment="1">
      <x:alignment wrapText="1"/>
    </x:xf>
    <x:xf numFmtId="0" fontId="6" fillId="62"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63" borderId="0" xfId="0" applyNumberFormat="1" applyFont="1" applyFill="1" applyBorder="1"/>
    <x:xf numFmtId="0" fontId="38" fillId="63" borderId="0" xfId="0" applyNumberFormat="1" applyFont="1" applyFill="1" applyBorder="1"/>
    <x:xf numFmtId="0" fontId="0" fillId="64" borderId="0" xfId="0" applyNumberFormat="1" applyFont="1" applyFill="1" applyBorder="1"/>
    <x:xf numFmtId="0" fontId="20" fillId="64" borderId="0" xfId="0" applyNumberFormat="1" applyFont="1" applyFill="1" applyBorder="1"/>
    <x:xf numFmtId="0" fontId="38" fillId="63" borderId="0" xfId="0" applyNumberFormat="1" applyFont="1" applyFill="1" applyBorder="1" applyAlignment="1">
      <x:alignment wrapText="1"/>
    </x:xf>
    <x:xf numFmtId="0" fontId="20" fillId="64" borderId="0" xfId="0" applyNumberFormat="1" applyFont="1" applyFill="1" applyBorder="1" applyAlignment="1">
      <x:alignment wrapText="1"/>
    </x:xf>
  </x:cellXfs>
  <x:cellStyles count="1">
    <x:cellStyle name="Normal" xfId="0"/>
  </x:cellStyles>
  <x:dxfs count="23">
    <x:dxf>
      <x:font>
        <x:b/>
        <x:color rgb="FF1F4E78"/>
      </x:font>
      <x:fill>
        <x:patternFill>
          <x:bgColor rgb="FFD9EAF7"/>
        </x:patternFill>
      </x:fill>
    </x:dxf>
    <x:dxf>
      <x:font>
        <x:b/>
        <x:color rgb="FF548235"/>
      </x:font>
      <x:fill>
        <x:patternFill>
          <x:bgColor rgb="FFE2F0D9"/>
        </x:patternFill>
      </x:fill>
    </x:dxf>
    <x:dxf>
      <x:font>
        <x:b/>
        <x:color rgb="FFBF9000"/>
      </x:font>
      <x:fill>
        <x:patternFill>
          <x:bgColor rgb="FFFFF2CC"/>
        </x:patternFill>
      </x:fill>
    </x:dxf>
    <x:dxf>
      <x:font>
        <x:b/>
        <x:color rgb="FF548235"/>
      </x:font>
      <x:fill>
        <x:patternFill>
          <x:bgColor rgb="FFC6E0B4"/>
        </x:patternFill>
      </x:fill>
    </x:dxf>
    <x:dxf>
      <x:font>
        <x:b/>
        <x:color rgb="FF244062"/>
      </x:font>
      <x:fill>
        <x:patternFill>
          <x:bgColor rgb="FFA9D18E"/>
        </x:patternFill>
      </x:fill>
    </x:dxf>
    <x:dxf>
      <x:font>
        <x:b/>
        <x:color rgb="FF7F7F7F"/>
      </x:font>
      <x:fill>
        <x:patternFill>
          <x:bgColor rgb="FFD9D9D9"/>
        </x:patternFill>
      </x:fill>
    </x:dxf>
    <x:dxf>
      <x:font>
        <x:b/>
        <x:color rgb="FF274E13"/>
      </x:font>
      <x:fill>
        <x:patternFill>
          <x:bgColor rgb="FFD9EAD3"/>
        </x:patternFill>
      </x:fill>
    </x:dxf>
    <x:dxf>
      <x:font>
        <x:b/>
        <x:color rgb="FF7F6000"/>
      </x:font>
      <x:fill>
        <x:patternFill>
          <x:bgColor rgb="FFFFF2CC"/>
        </x:patternFill>
      </x:fill>
    </x:dxf>
    <x:dxf>
      <x:font>
        <x:b/>
        <x:color rgb="FF274E13"/>
      </x:font>
      <x:fill>
        <x:patternFill>
          <x:bgColor rgb="FFD9EAD3"/>
        </x:patternFill>
      </x:fill>
    </x:dxf>
    <x:dxf>
      <x:font>
        <x:b/>
        <x:color rgb="FF1F4E78"/>
      </x:font>
      <x:fill>
        <x:patternFill>
          <x:bgColor rgb="FFD9EAF7"/>
        </x:patternFill>
      </x:fill>
    </x:dxf>
    <x:dxf>
      <x:fill>
        <x:patternFill>
          <x:bgColor rgb="FFDDEEDB"/>
        </x:patternFill>
      </x:fill>
    </x:dxf>
    <x:dxf>
      <x:fill>
        <x:patternFill>
          <x:bgColor rgb="FFEADFF4"/>
        </x:patternFill>
      </x:fill>
    </x:dxf>
    <x:dxf>
      <x:fill>
        <x:patternFill>
          <x:bgColor rgb="FFDCEAF7"/>
        </x:patternFill>
      </x:fill>
    </x:dxf>
    <x:dxf>
      <x:fill>
        <x:patternFill>
          <x:bgColor rgb="FFE7E9ED"/>
        </x:patternFill>
      </x:fill>
    </x:dxf>
    <x:dxf>
      <x:fill>
        <x:patternFill>
          <x:bgColor rgb="FFF8D7DA"/>
        </x:patternFill>
      </x:fill>
    </x:dxf>
    <x:dxf>
      <x:fill>
        <x:patternFill>
          <x:bgColor rgb="FFFFF2CC"/>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ill>
        <x:patternFill>
          <x:bgColor rgb="FFFFF2CC"/>
        </x:patternFill>
      </x:fill>
    </x:dxf>
    <x:dxf>
      <x:fill>
        <x:patternFill>
          <x:bgColor rgb="FFF8D7DA"/>
        </x:patternFill>
      </x:fill>
    </x:dxf>
    <x:dxf>
      <x:fill>
        <x:patternFill>
          <x:bgColor rgb="FFE7E9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6711115f0641bd" /><Relationship Type="http://schemas.openxmlformats.org/officeDocument/2006/relationships/theme" Target="/xl/theme/theme1.xml" Id="R3bffeae9e5c64293" /><Relationship Type="http://schemas.openxmlformats.org/officeDocument/2006/relationships/sharedStrings" Target="/xl/sharedStrings.xml" Id="Reed5dcfdf85545d9" /><Relationship Type="http://schemas.openxmlformats.org/officeDocument/2006/relationships/worksheet" Target="/xl/worksheets/sheet1.xml" Id="R6f6623aa943b42ff" /><Relationship Type="http://schemas.openxmlformats.org/officeDocument/2006/relationships/worksheet" Target="/xl/worksheets/sheet2.xml" Id="Rac2256b90aff476f" /><Relationship Type="http://schemas.openxmlformats.org/officeDocument/2006/relationships/worksheet" Target="/xl/worksheets/sheet3.xml" Id="R944b10a0541b4939" /><Relationship Type="http://schemas.openxmlformats.org/officeDocument/2006/relationships/worksheet" Target="/xl/worksheets/sheet4.xml" Id="R31263d093f874a62" /><Relationship Type="http://schemas.openxmlformats.org/officeDocument/2006/relationships/worksheet" Target="/xl/worksheets/sheet5.xml" Id="R859617da9af643f5" /><Relationship Type="http://schemas.openxmlformats.org/officeDocument/2006/relationships/worksheet" Target="/xl/worksheets/sheet6.xml" Id="Raa0a4f211edd4cb5" /><Relationship Type="http://schemas.openxmlformats.org/officeDocument/2006/relationships/worksheet" Target="/xl/worksheets/sheet7.xml" Id="R8c0e9cbe83e340fc" /><Relationship Type="http://schemas.openxmlformats.org/officeDocument/2006/relationships/worksheet" Target="/xl/worksheets/sheet8.xml" Id="Ra36333a326904717" /><Relationship Type="http://schemas.openxmlformats.org/officeDocument/2006/relationships/worksheet" Target="/xl/worksheets/sheet9.xml" Id="R273e0916d1594e90" /><Relationship Type="http://schemas.openxmlformats.org/officeDocument/2006/relationships/worksheet" Target="/xl/worksheets/sheet10.xml" Id="Rcb935c1b8376428d" /><Relationship Type="http://schemas.openxmlformats.org/officeDocument/2006/relationships/worksheet" Target="/xl/worksheets/sheet11.xml" Id="R44e434ceb7674c3c" /><Relationship Type="http://schemas.openxmlformats.org/officeDocument/2006/relationships/worksheet" Target="/xl/worksheets/sheet12.xml" Id="R898d7a9ddc514c2f" /><Relationship Type="http://schemas.openxmlformats.org/officeDocument/2006/relationships/worksheet" Target="/xl/worksheets/sheet13.xml" Id="R0dcf480b78924cde" /><Relationship Type="http://schemas.openxmlformats.org/officeDocument/2006/relationships/worksheet" Target="/xl/worksheets/sheet14.xml" Id="R94f219b7f3af4fb3" /><Relationship Type="http://schemas.openxmlformats.org/officeDocument/2006/relationships/worksheet" Target="/xl/worksheets/sheet15.xml" Id="Rcaecd4873b704fdc" /><Relationship Type="http://schemas.openxmlformats.org/officeDocument/2006/relationships/worksheet" Target="/xl/worksheets/sheet16.xml" Id="R6dc2bbf958df452a" /><Relationship Type="http://schemas.openxmlformats.org/officeDocument/2006/relationships/worksheet" Target="/xl/worksheets/sheet17.xml" Id="Re3546a1f2e6c4b3d" /><Relationship Type="http://schemas.openxmlformats.org/officeDocument/2006/relationships/worksheet" Target="/xl/worksheets/sheet18.xml" Id="R71474582ff084648" /><Relationship Type="http://schemas.openxmlformats.org/officeDocument/2006/relationships/worksheet" Target="/xl/worksheets/sheet19.xml" Id="Rd23cf1cbdd1e481b" /><Relationship Type="http://schemas.openxmlformats.org/officeDocument/2006/relationships/worksheet" Target="/xl/worksheets/sheet20.xml" Id="Rb05f0941dc8d4bdf" /><Relationship Type="http://schemas.openxmlformats.org/officeDocument/2006/relationships/worksheet" Target="/xl/worksheets/sheet21.xml" Id="R026b3ce8e3f441d6" /><Relationship Type="http://schemas.openxmlformats.org/officeDocument/2006/relationships/worksheet" Target="/xl/worksheets/sheet22.xml" Id="R743ca17c5d774d51" /><Relationship Type="http://schemas.openxmlformats.org/officeDocument/2006/relationships/worksheet" Target="/xl/worksheets/sheet23.xml" Id="R5233749872bf4b18" /><Relationship Type="http://schemas.openxmlformats.org/officeDocument/2006/relationships/worksheet" Target="/xl/worksheets/sheet24.xml" Id="R148ac2dd033b4ba4" /><Relationship Type="http://schemas.openxmlformats.org/officeDocument/2006/relationships/worksheet" Target="/xl/worksheets/sheet25.xml" Id="R9f3d0b50613b41c3" /><Relationship Type="http://schemas.openxmlformats.org/officeDocument/2006/relationships/worksheet" Target="/xl/worksheets/sheet26.xml" Id="R8c7f72dfd4154ab0" /><Relationship Type="http://schemas.openxmlformats.org/officeDocument/2006/relationships/worksheet" Target="/xl/worksheets/sheet27.xml" Id="R493070d19d864a18" /><Relationship Type="http://schemas.openxmlformats.org/officeDocument/2006/relationships/worksheet" Target="/xl/worksheets/sheet28.xml" Id="R9f69fda319574e0b" /><Relationship Type="http://schemas.openxmlformats.org/officeDocument/2006/relationships/worksheet" Target="/xl/worksheets/sheet29.xml" Id="Rcc814eda90144fee" /><Relationship Type="http://schemas.openxmlformats.org/officeDocument/2006/relationships/worksheet" Target="/xl/worksheets/sheet30.xml" Id="R7fb99d94d4e94a4e" /><Relationship Type="http://schemas.openxmlformats.org/officeDocument/2006/relationships/worksheet" Target="/xl/worksheets/sheet31.xml" Id="Rafc8f03d9d0e4cfc" /><Relationship Type="http://schemas.openxmlformats.org/officeDocument/2006/relationships/worksheet" Target="/xl/worksheets/sheet32.xml" Id="Rb8520702cac44725" /><Relationship Type="http://schemas.openxmlformats.org/officeDocument/2006/relationships/worksheet" Target="/xl/worksheets/sheet33.xml" Id="Rb2d7aedb5e5a4412" /></Relationships>
</file>

<file path=xl/tables/table1.xml><?xml version="1.0" encoding="utf-8"?>
<x:table xmlns:x="http://schemas.openxmlformats.org/spreadsheetml/2006/main" id="1" name="InternationalDataPOCRegister" displayName="InternationalDataPOCRegister" ref="A1:AA14" headerRowCount="1" totalsRowCount="0" totalsRowShown="0">
  <x:tableColumns count="27">
    <x:tableColumn id="1" name="Priority"/>
    <x:tableColumn id="2" name="Priority Tier"/>
    <x:tableColumn id="3" name="Country / Region"/>
    <x:tableColumn id="4" name="Organization"/>
    <x:tableColumn id="5" name="Program / Office"/>
    <x:tableColumn id="6" name="Research Role"/>
    <x:tableColumn id="7" name="Named POC"/>
    <x:tableColumn id="8" name="POC Role / Office"/>
    <x:tableColumn id="9" name="Email"/>
    <x:tableColumn id="10" name="Phone"/>
    <x:tableColumn id="11" name="Official Website / Intake"/>
    <x:tableColumn id="12" name="Secondary Source / Dataset"/>
    <x:tableColumn id="13" name="Postal Address"/>
    <x:tableColumn id="14" name="Status"/>
    <x:tableColumn id="15" name="Date Sent"/>
    <x:tableColumn id="16" name="Delivery Method"/>
    <x:tableColumn id="17" name="Tracking Number"/>
    <x:tableColumn id="18" name="Mail Receipt Date"/>
    <x:tableColumn id="19" name="Acknowledged?"/>
    <x:tableColumn id="20" name="Response Date"/>
    <x:tableColumn id="21" name="Data Approved?"/>
    <x:tableColumn id="22" name="Data Received?"/>
    <x:tableColumn id="23" name="Data Received Date"/>
    <x:tableColumn id="24" name="Follow-Up Date"/>
    <x:tableColumn id="25" name="Outcome"/>
    <x:tableColumn id="26" name="Named Technical Contact"/>
    <x:tableColumn id="27" name="Notes"/>
  </x:tableColumns>
  <x:tableStyleInfo name="TableStyleMedium2" showFirstColumn="0" showLastColumn="0" showRowStripes="1" showColumnStripes="0"/>
</x:table>
</file>

<file path=xl/tables/table2.xml><?xml version="1.0" encoding="utf-8"?>
<x:table xmlns:x="http://schemas.openxmlformats.org/spreadsheetml/2006/main" id="2" name="InternationalResearchFitTable" displayName="InternationalResearchFitTable" ref="A1:L14" headerRowCount="1" totalsRowCount="0" totalsRowShown="0">
  <x:tableColumns count="12">
    <x:tableColumn id="1" name="Priority"/>
    <x:tableColumn id="2" name="Priority Tier"/>
    <x:tableColumn id="3" name="Organization"/>
    <x:tableColumn id="4" name="Why Prioritized / Unique Value"/>
    <x:tableColumn id="5" name="Best Request / Ask"/>
    <x:tableColumn id="6" name="Primary Data Type"/>
    <x:tableColumn id="7" name="Primary Source URL"/>
    <x:tableColumn id="8" name="Secondary Source URL"/>
    <x:tableColumn id="9" name="Potential Validation Role"/>
    <x:tableColumn id="10" name="Restrictions / License"/>
    <x:tableColumn id="11" name="Preferred Citation / Acknowledgment"/>
    <x:tableColumn id="12" name="Technical Notes"/>
  </x:tableColumns>
  <x:tableStyleInfo name="TableStyleMedium2" showFirstColumn="0" showLastColumn="0" showRowStripes="1" showColumnStripes="0"/>
</x:table>
</file>

<file path=xl/tables/table3.xml><?xml version="1.0" encoding="utf-8"?>
<x:table xmlns:x="http://schemas.openxmlformats.org/spreadsheetml/2006/main" id="3" name="AustraliaArchivePointers" displayName="AustraliaArchivePointers" ref="A5:H13" headerRowCount="1" totalsRowCount="0" totalsRowShown="0">
  <x:tableColumns count="8">
    <x:tableColumn id="1" name="ID"/>
    <x:tableColumn id="2" name="Product / archive"/>
    <x:tableColumn id="3" name="Provider / source distinction"/>
    <x:tableColumn id="4" name="What the email says"/>
    <x:tableColumn id="5" name="Coverage / interpretation limit"/>
    <x:tableColumn id="6" name="Proposed use — not yet adopted"/>
    <x:tableColumn id="7" name="Citation / remaining check"/>
    <x:tableColumn id="8" name="Exact URL supplied"/>
  </x:tableColumns>
  <x:tableStyleInfo name="TableStyleMedium2" showFirstColumn="0" showLastColumn="0" showRowStripes="1" showColumnStripes="0"/>
</x:table>
</file>

<file path=xl/tables/table4.xml><?xml version="1.0" encoding="utf-8"?>
<x:table xmlns:x="http://schemas.openxmlformats.org/spreadsheetml/2006/main" id="4" name="ExpansionCandidateTable" displayName="ExpansionCandidateTable" ref="A4:F10" headerRowCount="1" totalsRowCount="0" totalsRowShown="0">
  <x:tableColumns count="6">
    <x:tableColumn id="1" name="Country"/>
    <x:tableColumn id="2" name="Institution"/>
    <x:tableColumn id="3" name="Email"/>
    <x:tableColumn id="4" name="Known measurement families"/>
    <x:tableColumn id="5" name="Access state"/>
    <x:tableColumn id="6" name="Dataset / source"/>
  </x:tableColumns>
  <x:tableStyleInfo name="TableStyleMedium2" showFirstColumn="0" showLastColumn="0" showRowStripes="1" showColumnStripes="0"/>
</x:table>
</file>

<file path=xl/tables/table5.xml><?xml version="1.0" encoding="utf-8"?>
<x:table xmlns:x="http://schemas.openxmlformats.org/spreadsheetml/2006/main" id="5" name="VerifiedWorkLocatorTable" displayName="VerifiedWorkLocatorTable" ref="A4:F10" headerRowCount="1" totalsRowCount="0" totalsRowShown="0">
  <x:tableColumns count="6">
    <x:tableColumn id="1" name="Type"/>
    <x:tableColumn id="2" name="Year"/>
    <x:tableColumn id="3" name="Exact title"/>
    <x:tableColumn id="4" name="Authors / export"/>
    <x:tableColumn id="5" name="Stable locator"/>
    <x:tableColumn id="6" name="Use / qualification"/>
  </x:tableColumns>
  <x:tableStyleInfo name="TableStyleMedium2" showFirstColumn="0" showLastColumn="0" showRowStripes="1" showColumnStripes="0"/>
</x:table>
</file>

<file path=xl/tables/table6.xml><?xml version="1.0" encoding="utf-8"?>
<x:table xmlns:x="http://schemas.openxmlformats.org/spreadsheetml/2006/main" id="6" name="SourceDirectoryTable" displayName="SourceDirectoryTable" ref="A5:H60" headerRowCount="1" totalsRowCount="0" totalsRowShown="0">
  <x:tableColumns count="8">
    <x:tableColumn id="1" name="ID"/>
    <x:tableColumn id="2" name="Country / source"/>
    <x:tableColumn id="3" name="Evidence / study role"/>
    <x:tableColumn id="4" name="Access posture"/>
    <x:tableColumn id="5" name="Outreach state"/>
    <x:tableColumn id="6" name="Details"/>
    <x:tableColumn id="7" name="Source URL"/>
    <x:tableColumn id="8" name="Evidence note"/>
  </x:tableColumns>
  <x:tableStyleInfo name="TableStyleMedium2" showFirstColumn="0" showLastColumn="0" showRowStripes="1" showColumnStripes="0"/>
</x:table>
</file>

<file path=xl/tables/table7.xml><?xml version="1.0" encoding="utf-8"?>
<x:table xmlns:x="http://schemas.openxmlformats.org/spreadsheetml/2006/main" id="7" name="UpdateLog15SepTable" displayName="UpdateLog15SepTable" ref="A5:F15" headerRowCount="1" totalsRowCount="0" totalsRowShown="0">
  <x:tableColumns count="6">
    <x:tableColumn id="1" name="Date"/>
    <x:tableColumn id="2" name="Area"/>
    <x:tableColumn id="3" name="Before"/>
    <x:tableColumn id="4" name="After"/>
    <x:tableColumn id="5" name="Evidence / work performed"/>
    <x:tableColumn id="6" name="Limits"/>
  </x:tableColumns>
  <x:tableStyleInfo name="TableStyleMedium2" showFirstColumn="0" showLastColumn="0" showRowStripes="1" showColumnStripes="0"/>
</x:table>
</file>

<file path=xl/tables/table8.xml><?xml version="1.0" encoding="utf-8"?>
<x:table xmlns:x="http://schemas.openxmlformats.org/spreadsheetml/2006/main" id="8" name="NCEIUpdate15Sep13R" displayName="NCEIUpdate15Sep13R" ref="A4:B17" headerRowCount="1" totalsRowCount="0" totalsRowShown="0">
  <x:tableColumns count="2">
    <x:tableColumn id="1" name="Field"/>
    <x:tableColumn id="2" name="Record"/>
  </x:tableColumns>
  <x:tableStyleInfo name="TableStyleMedium2" showFirstColumn="0" showLastColumn="0" showRowStripes="1" showColumnStripes="0"/>
</x:table>
</file>

<file path=xl/tables/table9.xml><?xml version="1.0" encoding="utf-8"?>
<x:table xmlns:x="http://schemas.openxmlformats.org/spreadsheetml/2006/main" id="9" name="DataTriage63R" displayName="DataTriage63R" ref="A4:F67" headerRowCount="1" totalsRowCount="0" totalsRowShown="0">
  <x:tableColumns count="6">
    <x:tableColumn id="1" name="Source ID"/>
    <x:tableColumn id="2" name="Resource"/>
    <x:tableColumn id="3" name="Use tier"/>
    <x:tableColumn id="4" name="Evidence stage"/>
    <x:tableColumn id="5" name="Fit / limits / next step"/>
    <x:tableColumn id="6" name="Data or evidence link"/>
  </x:tableColumns>
  <x:tableStyleInfo name="TableStyleMedium2" showFirstColumn="0" showLastColumn="0" showRowStripes="1" showColumnStripes="0"/>
</x:table>
</file>

<file path=xl/tables/table10.xml><?xml version="1.0" encoding="utf-8"?>
<x:table xmlns:x="http://schemas.openxmlformats.org/spreadsheetml/2006/main" id="10" name="LinkChecks166R" displayName="LinkChecks166R" ref="A4:F170" headerRowCount="1" totalsRowCount="0" totalsRowShown="0">
  <x:tableColumns count="6">
    <x:tableColumn id="1" name="Locator"/>
    <x:tableColumn id="2" name="Original location / provenance"/>
    <x:tableColumn id="3" name="15 Sep test result"/>
    <x:tableColumn id="4" name="Checked"/>
    <x:tableColumn id="5" name="What was actually verified"/>
    <x:tableColumn id="6" name="Numeric sample status"/>
  </x:tableColumns>
  <x:tableStyleInfo name="TableStyleMedium2" showFirstColumn="0" showLastColumn="0" showRowStripes="1" showColumnStripes="0"/>
</x:table>
</file>

<file path=xl/tables/table11.xml><?xml version="1.0" encoding="utf-8"?>
<x:table xmlns:x="http://schemas.openxmlformats.org/spreadsheetml/2006/main" id="11" name="FieldVerification13R" displayName="FieldVerification13R" ref="A4:H17" headerRowCount="1" totalsRowCount="0" totalsRowShown="0">
  <x:tableColumns count="8">
    <x:tableColumn id="1" name="Source"/>
    <x:tableColumn id="2" name="Latency"/>
    <x:tableColumn id="3" name="Uptime / downtime"/>
    <x:tableColumn id="4" name="Disruption / throughput / environment"/>
    <x:tableColumn id="5" name="AI / ML layer"/>
    <x:tableColumn id="6" name="Interpretation / quality rules"/>
    <x:tableColumn id="7" name="Sampling action"/>
    <x:tableColumn id="8" name="Evidence link"/>
  </x:tableColumns>
  <x:tableStyleInfo name="TableStyleMedium2" showFirstColumn="0" showLastColumn="0" showRowStripes="1" showColumnStripes="0"/>
</x:table>
</file>

<file path=xl/tables/table12.xml><?xml version="1.0" encoding="utf-8"?>
<x:table xmlns:x="http://schemas.openxmlformats.org/spreadsheetml/2006/main" id="12" name="UsabilityGuide30R" displayName="UsabilityGuide30R" ref="A4:B34" headerRowCount="1" totalsRowCount="0" totalsRowShown="0">
  <x:tableColumns count="2">
    <x:tableColumn id="1" name="Control / measure"/>
    <x:tableColumn id="2" name="Meaning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e76b1f3a0841a0" /></Relationships>
</file>

<file path=xl/worksheets/_rels/sheet3.xml.rels>&#65279;<?xml version="1.0" encoding="utf-8"?><Relationships xmlns="http://schemas.openxmlformats.org/package/2006/relationships"><Relationship Type="http://schemas.openxmlformats.org/officeDocument/2006/relationships/table" Target="/xl/tables/table2.xml" Id="R8d3c0b2fb3e44cc7" /></Relationships>
</file>

<file path=xl/worksheets/_rels/sheet7.xml.rels>&#65279;<?xml version="1.0" encoding="utf-8"?><Relationships xmlns="http://schemas.openxmlformats.org/package/2006/relationships"><Relationship Type="http://schemas.openxmlformats.org/officeDocument/2006/relationships/table" Target="/xl/tables/table3.xml" Id="R4a53428ebcff491e" /></Relationships>
</file>

<file path=xl/worksheets/_rels/sheet15.xml.rels>&#65279;<?xml version="1.0" encoding="utf-8"?><Relationships xmlns="http://schemas.openxmlformats.org/package/2006/relationships"><Relationship Type="http://schemas.openxmlformats.org/officeDocument/2006/relationships/table" Target="/xl/tables/table4.xml" Id="Ra0df7e31c5c544fe" /></Relationships>
</file>

<file path=xl/worksheets/_rels/sheet17.xml.rels>&#65279;<?xml version="1.0" encoding="utf-8"?><Relationships xmlns="http://schemas.openxmlformats.org/package/2006/relationships"><Relationship Type="http://schemas.openxmlformats.org/officeDocument/2006/relationships/table" Target="/xl/tables/table5.xml" Id="Rf92b6abe465a4ac0" /></Relationships>
</file>

<file path=xl/worksheets/_rels/sheet23.xml.rels>&#65279;<?xml version="1.0" encoding="utf-8"?><Relationships xmlns="http://schemas.openxmlformats.org/package/2006/relationships"><Relationship Type="http://schemas.openxmlformats.org/officeDocument/2006/relationships/table" Target="/xl/tables/table6.xml" Id="R4549e434082d4bce" /></Relationships>
</file>

<file path=xl/worksheets/_rels/sheet24.xml.rels>&#65279;<?xml version="1.0" encoding="utf-8"?><Relationships xmlns="http://schemas.openxmlformats.org/package/2006/relationships"><Relationship Type="http://schemas.openxmlformats.org/officeDocument/2006/relationships/table" Target="/xl/tables/table7.xml" Id="R72140e9ceb6d482f" /></Relationships>
</file>

<file path=xl/worksheets/_rels/sheet25.xml.rels>&#65279;<?xml version="1.0" encoding="utf-8"?><Relationships xmlns="http://schemas.openxmlformats.org/package/2006/relationships"><Relationship Type="http://schemas.openxmlformats.org/officeDocument/2006/relationships/table" Target="/xl/tables/table8.xml" Id="R16a28cdf3cd34f9d" /></Relationships>
</file>

<file path=xl/worksheets/_rels/sheet26.xml.rels>&#65279;<?xml version="1.0" encoding="utf-8"?><Relationships xmlns="http://schemas.openxmlformats.org/package/2006/relationships"><Relationship Type="http://schemas.openxmlformats.org/officeDocument/2006/relationships/table" Target="/xl/tables/table9.xml" Id="R92808f6689ed449a" /></Relationships>
</file>

<file path=xl/worksheets/_rels/sheet27.xml.rels>&#65279;<?xml version="1.0" encoding="utf-8"?><Relationships xmlns="http://schemas.openxmlformats.org/package/2006/relationships"><Relationship Type="http://schemas.openxmlformats.org/officeDocument/2006/relationships/table" Target="/xl/tables/table10.xml" Id="Rba15d1a58d92479d" /></Relationships>
</file>

<file path=xl/worksheets/_rels/sheet28.xml.rels>&#65279;<?xml version="1.0" encoding="utf-8"?><Relationships xmlns="http://schemas.openxmlformats.org/package/2006/relationships"><Relationship Type="http://schemas.openxmlformats.org/officeDocument/2006/relationships/table" Target="/xl/tables/table11.xml" Id="Rcc84f1fb79524bf4" /></Relationships>
</file>

<file path=xl/worksheets/_rels/sheet29.xml.rels>&#65279;<?xml version="1.0" encoding="utf-8"?><Relationships xmlns="http://schemas.openxmlformats.org/package/2006/relationships"><Relationship Type="http://schemas.openxmlformats.org/officeDocument/2006/relationships/table" Target="/xl/tables/table12.xml" Id="Re8b0dde23b4842d0" /></Relationships>
</file>

<file path=xl/worksheets/sheet1.xml><?xml version="1.0" encoding="utf-8"?>
<x:worksheet xmlns:x="http://schemas.openxmlformats.org/spreadsheetml/2006/main">
  <x:sheetFormatPr defaultRowHeight="15"/>
  <x:cols>
    <x:col min="1" max="1" width="32" hidden="0" customWidth="1"/>
    <x:col min="2" max="2" width="32" hidden="0" customWidth="1"/>
    <x:col min="4" max="4" width="16" hidden="0" customWidth="1"/>
    <x:col min="5" max="5" width="34" hidden="0" customWidth="1"/>
    <x:col min="6" max="6" width="38" hidden="0" customWidth="1"/>
    <x:col min="7" max="7" width="38" hidden="0" customWidth="1"/>
    <x:col min="8" max="8" width="12" hidden="0" customWidth="1"/>
    <x:col min="3" max="3" width="23" hidden="0" customWidth="1"/>
  </x:cols>
  <x:sheetData>
    <x:row r="1" ht="30" customHeight="1">
      <x:c r="A1" s="52" t="str">
        <x:v>International &amp; Domestic Research Data Register</x:v>
      </x:c>
      <x:c r="B1" s="52"/>
      <x:c r="C1" s="52"/>
      <x:c r="D1" s="52"/>
      <x:c r="E1" s="52"/>
      <x:c r="F1" s="52"/>
      <x:c r="G1" s="52"/>
      <x:c r="H1" s="52"/>
    </x:row>
    <x:row r="2">
      <x:c r="A2" s="58" t="str">
        <x:v>v16 • 22 Sep 2026 • CINC numerical samples retained at Readiness 3. Measurement Lab NDT/BigQuery confirmed. Argentina/Patagonia: Dr. Pablo Costanzo Caso responded that the requested data are not currently available; his VHF/UHF ground station operated for more than 3 years but was dismantled for lack of funding. He is open to a future funded collaboration to collect measurements from Patagonia.</x:v>
      </x:c>
      <x:c r="B2" s="58"/>
      <x:c r="C2" s="58"/>
      <x:c r="D2" s="58"/>
      <x:c r="E2" s="58"/>
      <x:c r="F2" s="58"/>
      <x:c r="G2" s="58"/>
      <x:c r="H2" s="58"/>
    </x:row>
    <x:row r="4">
      <x:c r="A4" s="64" t="str">
        <x:v>Metric</x:v>
      </x:c>
      <x:c r="B4" s="64" t="str">
        <x:v>Value</x:v>
      </x:c>
      <x:c r="D4" s="69" t="str">
        <x:v>Priority</x:v>
      </x:c>
      <x:c r="E4" s="69" t="str">
        <x:v>Country</x:v>
      </x:c>
      <x:c r="F4" s="69" t="str">
        <x:v>Organization</x:v>
      </x:c>
      <x:c r="G4" s="69" t="str">
        <x:v>Core Value</x:v>
      </x:c>
      <x:c r="H4" s="69" t="str">
        <x:v>Planned wave</x:v>
      </x:c>
    </x:row>
    <x:row r="5">
      <x:c r="A5" s="56" t="str">
        <x:v>Original target list</x:v>
      </x:c>
      <x:c r="B5" s="56" t="n">
        <x:f>COUNTA('POC Register'!D2:D14)</x:f>
        <x:v>13</x:v>
      </x:c>
      <x:c r="D5" s="74" t="n">
        <x:v>1</x:v>
      </x:c>
      <x:c r="E5" s="74" t="str">
        <x:v>Japan</x:v>
      </x:c>
      <x:c r="F5" s="74" t="str">
        <x:v>NICT — World Data Center for Ionosphere &amp; Space Weather</x:v>
      </x:c>
      <x:c r="G5" s="74" t="str">
        <x:v>Space weather / ionosphere / solar-flare effects</x:v>
      </x:c>
      <x:c r="H5" s="74" t="str">
        <x:v>Wave 1</x:v>
      </x:c>
    </x:row>
    <x:row r="6">
      <x:c r="A6" s="12" t="str">
        <x:v>Tier 1 — Primary</x:v>
      </x:c>
      <x:c r="B6" s="12" t="n">
        <x:f>COUNTIF('POC Register'!B2:B14,"Tier 1 - Primary")</x:f>
        <x:v>6</x:v>
      </x:c>
      <x:c r="D6" s="16" t="n">
        <x:v>2</x:v>
      </x:c>
      <x:c r="E6" s="16" t="str">
        <x:v>Canada</x:v>
      </x:c>
      <x:c r="F6" s="16" t="str">
        <x:v>University of Victoria — Starlink@PanLab / LENS</x:v>
      </x:c>
      <x:c r="G6" s="16" t="str">
        <x:v>LEO latency / one-way delay / network performance</x:v>
      </x:c>
      <x:c r="H6" s="16" t="str">
        <x:v>Wave 1</x:v>
      </x:c>
    </x:row>
    <x:row r="7">
      <x:c r="A7" s="20" t="str">
        <x:v>Tier 2 — Secondary</x:v>
      </x:c>
      <x:c r="B7" s="20" t="n">
        <x:f>COUNTIF('POC Register'!B2:B14,"Tier 2 - Secondary")</x:f>
        <x:v>4</x:v>
      </x:c>
      <x:c r="D7" s="16" t="n">
        <x:v>3</x:v>
      </x:c>
      <x:c r="E7" s="16" t="str">
        <x:v>Germany / Netherlands</x:v>
      </x:c>
      <x:c r="F7" s="16" t="str">
        <x:v>WetLinks — Osnabrück University / University of Twente</x:v>
      </x:c>
      <x:c r="G7" s="16" t="str">
        <x:v>Starlink RTT / packet loss / throughput / traceroute / weather</x:v>
      </x:c>
      <x:c r="H7" s="16" t="str">
        <x:v>Wave 1</x:v>
      </x:c>
    </x:row>
    <x:row r="8">
      <x:c r="A8" s="28" t="str">
        <x:v>Tier 3 — Supporting</x:v>
      </x:c>
      <x:c r="B8" s="28" t="n">
        <x:f>COUNTIF('POC Register'!B2:B14,"Tier 3 - Supporting")</x:f>
        <x:v>3</x:v>
      </x:c>
      <x:c r="D8" s="16" t="n">
        <x:v>4</x:v>
      </x:c>
      <x:c r="E8" s="16" t="str">
        <x:v>Netherlands</x:v>
      </x:c>
      <x:c r="F8" s="16" t="str">
        <x:v>RIPE NCC — RIPE Atlas</x:v>
      </x:c>
      <x:c r="G8" s="16" t="str">
        <x:v>Independent active Internet measurements / ping / traceroute</x:v>
      </x:c>
      <x:c r="H8" s="16" t="str">
        <x:v>Wave 1</x:v>
      </x:c>
    </x:row>
    <x:row r="9">
      <x:c r="D9" s="16" t="n">
        <x:v>5</x:v>
      </x:c>
      <x:c r="E9" s="16" t="str">
        <x:v>New Zealand</x:v>
      </x:c>
      <x:c r="F9" s="16" t="str">
        <x:v>University of Otago — Solar Tsunamis / MANA Network</x:v>
      </x:c>
      <x:c r="G9" s="16" t="str">
        <x:v>Geomagnetic observations / Southern Hemisphere environmental stress</x:v>
      </x:c>
      <x:c r="H9" s="16" t="str">
        <x:v>Wave 1</x:v>
      </x:c>
    </x:row>
    <x:row r="10">
      <x:c r="D10" s="16" t="n">
        <x:v>6</x:v>
      </x:c>
      <x:c r="E10" s="16" t="str">
        <x:v>New Zealand</x:v>
      </x:c>
      <x:c r="F10" s="16" t="str">
        <x:v>Earth Sciences New Zealand — Geomagnetism Project</x:v>
      </x:c>
      <x:c r="G10" s="16" t="str">
        <x:v>Geomagnetic observatory / INTERMAGNET / Scott Base context</x:v>
      </x:c>
      <x:c r="H10" s="16" t="str">
        <x:v>Wave 1</x:v>
      </x:c>
    </x:row>
    <x:row r="11">
      <x:c r="A11" s="68" t="str">
        <x:v>Color</x:v>
      </x:c>
      <x:c r="B11" s="68" t="str">
        <x:v>Meaning</x:v>
      </x:c>
    </x:row>
    <x:row r="12">
      <x:c r="A12" s="14" t="str">
        <x:v>Tier 1</x:v>
      </x:c>
      <x:c r="B12" s="14" t="str">
        <x:v>Primary outreach — material value to model/data/V&amp;V</x:v>
      </x:c>
    </x:row>
    <x:row r="13">
      <x:c r="A13" s="22" t="str">
        <x:v>Tier 2</x:v>
      </x:c>
      <x:c r="B13" s="22" t="str">
        <x:v>Secondary wave — cross-validation / operational interpretation</x:v>
      </x:c>
    </x:row>
    <x:row r="14">
      <x:c r="A14" s="30" t="str">
        <x:v>Tier 3</x:v>
      </x:c>
      <x:c r="B14" s="30" t="str">
        <x:v>Supporting — contextual, referral, or lower marginal value</x:v>
      </x:c>
    </x:row>
    <x:row r="16" ht="32" customHeight="1">
      <x:c r="A16" s="138" t="str">
        <x:v>Top table: priority planning. Below: actual six-country postal outreach of August 17. Shared WetLinks coverage is not counted as a separate Dutch reply.</x:v>
      </x:c>
      <x:c r="B16" s="138"/>
      <x:c r="C16" s="138"/>
      <x:c r="D16" s="138"/>
      <x:c r="E16" s="138"/>
      <x:c r="F16" s="138"/>
      <x:c r="G16" s="138"/>
      <x:c r="H16" s="138"/>
    </x:row>
    <x:row r="17" ht="26" customHeight="1">
      <x:c r="A17" s="139" t="str">
        <x:v>FIRST-WAVE RESPONSE STATUS — SEPTEMBER 14, 2026</x:v>
      </x:c>
      <x:c r="B17" s="139"/>
      <x:c r="C17" s="139"/>
      <x:c r="D17" s="139"/>
      <x:c r="E17" s="139"/>
      <x:c r="F17" s="139"/>
      <x:c r="G17" s="139"/>
      <x:c r="H17" s="139"/>
    </x:row>
    <x:row r="18" ht="32" customHeight="1">
      <x:c r="A18" s="141" t="str">
        <x:v>Packets mailed</x:v>
      </x:c>
      <x:c r="B18" s="162" t="n">
        <x:f>COUNTA(A20:A25)</x:f>
        <x:v>6</x:v>
      </x:c>
      <x:c r="C18" s="141" t="str">
        <x:v>Substantive replies</x:v>
      </x:c>
      <x:c r="D18" s="162" t="n">
        <x:f>COUNTIF(C20:C25,"RESPONDED")+COUNTIF(C20:C25,"RESPONDED / CLARIFICATION")+COUNTIF(C20:C25,"RESPONDED / ARCHIVES")</x:f>
        <x:v>5</x:v>
      </x:c>
      <x:c r="E18" s="141" t="str">
        <x:v>Auto-reply only</x:v>
      </x:c>
      <x:c r="F18" s="162" t="n">
        <x:f>COUNTIF(C20:C25,"AUTO-REPLY ONLY")</x:f>
        <x:v>0</x:v>
      </x:c>
      <x:c r="G18" s="141" t="str">
        <x:v>Archive-link replies</x:v>
      </x:c>
      <x:c r="H18" s="162" t="n">
        <x:f>COUNTIF(F20:F25,"Public links received")</x:f>
        <x:v>3</x:v>
      </x:c>
    </x:row>
    <x:row r="19" ht="28" customHeight="1">
      <x:c r="A19" s="143" t="str">
        <x:v>Country</x:v>
      </x:c>
      <x:c r="B19" s="143" t="str">
        <x:v>Organization / Contact</x:v>
      </x:c>
      <x:c r="C19" s="143" t="str">
        <x:v>Status</x:v>
      </x:c>
      <x:c r="D19" s="143" t="str">
        <x:v>Response date</x:v>
      </x:c>
      <x:c r="E19" s="143" t="str">
        <x:v>Next action</x:v>
      </x:c>
      <x:c r="F19" s="143" t="str">
        <x:v>Data status</x:v>
      </x:c>
      <x:c r="G19" s="143" t="str">
        <x:v>Evidence / limits</x:v>
      </x:c>
      <x:c r="H19" s="143" t="str"/>
    </x:row>
    <x:row r="20" ht="72" customHeight="1">
      <x:c r="A20" s="144" t="str">
        <x:v>Germany</x:v>
      </x:c>
      <x:c r="B20" s="144" t="str">
        <x:v>Osnabrück University — Prof. Dr. Nils Aschenbruck</x:v>
      </x:c>
      <x:c r="C20" s="144" t="str">
        <x:v>RESPONDED</x:v>
      </x:c>
      <x:c r="D20" s="144" t="str">
        <x:v>Aug 25, 2026</x:v>
      </x:c>
      <x:c r="E20" s="144" t="str">
        <x:v>Inspect/select public files; see shared WetLinks coverage below.</x:v>
      </x:c>
      <x:c r="F20" s="144" t="str">
        <x:v>Public links received</x:v>
      </x:c>
      <x:c r="G20" s="144" t="str">
        <x:v>GitHub + dataset/paper DOI. Data/code supplied as-is.</x:v>
      </x:c>
      <x:c r="H20" s="144" t="str"/>
    </x:row>
    <x:row r="21" ht="72" customHeight="1">
      <x:c r="A21" s="144" t="str">
        <x:v>Canada</x:v>
      </x:c>
      <x:c r="B21" s="144" t="str">
        <x:v>University of Victoria — Prof. Jianping Pan</x:v>
      </x:c>
      <x:c r="C21" s="144" t="str">
        <x:v>RESPONDED / CLARIFICATION</x:v>
      </x:c>
      <x:c r="D21" s="144" t="str">
        <x:v>Sep 12, 2026</x:v>
      </x:c>
      <x:c r="E21" s="144" t="str">
        <x:v>Await reply to Sep 13 field-specific clarification.</x:v>
      </x:c>
      <x:c r="F21" s="144" t="str">
        <x:v>No files yet</x:v>
      </x:c>
      <x:c r="G21" s="144" t="str">
        <x:v>Applicable public LENS files/variables remain to be identified.</x:v>
      </x:c>
      <x:c r="H21" s="144" t="str"/>
    </x:row>
    <x:row r="22" ht="84" customHeight="1">
      <x:c r="A22" s="144" t="str">
        <x:v>Japan</x:v>
      </x:c>
      <x:c r="B22" s="144" t="str">
        <x:v>NICT — Dr. Septi Perwitasari</x:v>
      </x:c>
      <x:c r="C22" s="144" t="str">
        <x:v>RESPONDED / CLARIFICATION</x:v>
      </x:c>
      <x:c r="D22" s="253" t="n">
        <x:v>46279</x:v>
      </x:c>
      <x:c r="E22" s="144" t="str">
        <x:v>Specify ionosonde/TEC requirements and historical coverage; request a separate network-data referral.</x:v>
      </x:c>
      <x:c r="F22" s="144" t="str">
        <x:v>No files or dataset links in reply</x:v>
      </x:c>
      <x:c r="G22" s="144" t="str">
        <x:v>Presentation reviewed; ionospheric group offers guidance after clarification. Direct satellite-link metrics unconfirmed.</x:v>
      </x:c>
      <x:c r="H22" s="144" t="str"/>
    </x:row>
    <x:row r="23" ht="72" customHeight="1">
      <x:c r="A23" s="144" t="str">
        <x:v>Netherlands</x:v>
      </x:c>
      <x:c r="B23" s="144" t="str">
        <x:v>University of Twente — shared WetLinks work</x:v>
      </x:c>
      <x:c r="C23" s="144" t="str">
        <x:v>SHARED PACKAGE</x:v>
      </x:c>
      <x:c r="D23" s="144" t="str"/>
      <x:c r="E23" s="144" t="str">
        <x:v>No separate follow-up unless a Twente-specific issue arises.</x:v>
      </x:c>
      <x:c r="F23" s="144" t="str">
        <x:v>Shared WetLinks links</x:v>
      </x:c>
      <x:c r="G23" s="144" t="str">
        <x:v>Covered by the German reply, per existing register; not an independent Dutch response.</x:v>
      </x:c>
      <x:c r="H23" s="144" t="str"/>
    </x:row>
    <x:row r="24" ht="100" customHeight="1">
      <x:c r="A24" s="227" t="str">
        <x:v>South Africa</x:v>
      </x:c>
      <x:c r="B24" s="227" t="str">
        <x:v>SANSA — Kate Niemantinga / Mpho Tshisaphungo</x:v>
      </x:c>
      <x:c r="C24" s="227" t="str">
        <x:v>RESPONDED / ARCHIVES</x:v>
      </x:c>
      <x:c r="D24" s="227" t="str">
        <x:v>Sep 14, 2026</x:v>
      </x:c>
      <x:c r="E24" s="227" t="str">
        <x:v>Inspect geomagnetic products; specify datasets/date ranges if historical records cannot be located.</x:v>
      </x:c>
      <x:c r="F24" s="227" t="str">
        <x:v>Public links received</x:v>
      </x:c>
      <x:c r="G24" s="227" t="str">
        <x:v>Research use free; HER acknowledgment supplied. No public direct satellite-link latency, loss or availability data at SANSA.</x:v>
      </x:c>
      <x:c r="H24" s="227" t="str"/>
    </x:row>
    <x:row r="25" ht="72" customHeight="1">
      <x:c r="A25" s="145" t="str">
        <x:v>Australia</x:v>
      </x:c>
      <x:c r="B25" s="145" t="str">
        <x:v>ASWFC / Bureau — Cassie Marshall</x:v>
      </x:c>
      <x:c r="C25" s="145" t="str">
        <x:v>RESPONDED / ARCHIVES</x:v>
      </x:c>
      <x:c r="D25" s="145" t="str">
        <x:v>Sep 13, 2026</x:v>
      </x:c>
      <x:c r="E25" s="145" t="str">
        <x:v>Confirm Australian regional K interest; inspect archive/API fields and usage terms.</x:v>
      </x:c>
      <x:c r="F25" s="145" t="str">
        <x:v>Public links received</x:v>
      </x:c>
      <x:c r="G25" s="145" t="str">
        <x:v>Eight links; citation guidance received. X-ray flux must not be attributed to Bureau.</x:v>
      </x:c>
      <x:c r="H25" s="145" t="str"/>
    </x:row>
    <x:row r="26" ht="40" customHeight="1">
      <x:c r="A26" s="147" t="str">
        <x:v>Six postal destinations. Five substantive national replies; three include public links (a subset, not additional replies). Shared Dutch coverage is not a separate reply. NICT requested clarification; no files or links supplied.</x:v>
      </x:c>
      <x:c r="B26" s="147"/>
      <x:c r="C26" s="147"/>
      <x:c r="D26" s="147"/>
      <x:c r="E26" s="147"/>
      <x:c r="F26" s="147"/>
      <x:c r="G26" s="147"/>
      <x:c r="H26" s="147"/>
    </x:row>
    <x:row r="28" ht="26" customHeight="1">
      <x:c r="A28" s="322" t="str">
        <x:v>CURRENT SOURCE DIRECTORY — DISCOVERY COUNTS, NOT RESPONSE COUNTS</x:v>
      </x:c>
      <x:c r="B28" s="322"/>
      <x:c r="C28" s="322"/>
      <x:c r="D28" s="322"/>
      <x:c r="E28" s="322"/>
      <x:c r="F28" s="322"/>
      <x:c r="G28" s="322"/>
      <x:c r="H28" s="322"/>
    </x:row>
    <x:row r="29">
      <x:c r="A29" t="str">
        <x:v>Indexed source routes</x:v>
      </x:c>
      <x:c r="B29" t="n">
        <x:v>57</x:v>
      </x:c>
      <x:c r="D29" s="325" t="str">
        <x:v>Open Source Directory for all 57 routes. New Argentina/Patagonia entry is a confirmed collaboration lead, not a current dataset. No numerical Patagonia data are claimed.</x:v>
      </x:c>
      <x:c r="E29" s="325"/>
      <x:c r="F29" s="325"/>
      <x:c r="G29" s="325"/>
      <x:c r="H29" s="325"/>
    </x:row>
    <x:row r="30">
      <x:c r="A30" t="str">
        <x:v>Domestic contact routes</x:v>
      </x:c>
      <x:c r="B30" t="n">
        <x:f>COUNTA('Source Directory'!A39:A46)</x:f>
        <x:v>8</x:v>
      </x:c>
      <x:c r="D30" s="325"/>
      <x:c r="E30" s="325"/>
      <x:c r="F30" s="325"/>
      <x:c r="G30" s="325"/>
      <x:c r="H30" s="325"/>
    </x:row>
    <x:row r="31">
      <x:c r="A31" t="str">
        <x:v>Additional access cards</x:v>
      </x:c>
      <x:c r="B31" t="n">
        <x:f>COUNTA('Source Directory'!A47:A60)</x:f>
        <x:v>14</x:v>
      </x:c>
      <x:c r="D31" s="325"/>
      <x:c r="E31" s="325"/>
      <x:c r="F31" s="325"/>
      <x:c r="G31" s="325"/>
      <x:c r="H31" s="325"/>
    </x:row>
    <x:row r="33">
      <x:c r="A33" t="str">
        <x:v>Source Directory tab →</x:v>
      </x:c>
      <x:c r="D33" t="str">
        <x:v>Domestic Contacts tab →</x:v>
      </x:c>
    </x:row>
    <x:row r="34" ht="32" customHeight="1">
      <x:c r="A34" s="354" t="str">
        <x:v>NEW: Usability Guide → Data Triage → Field Verification → Link Checks. NCEI second response and recommended products are captured separately.</x:v>
      </x:c>
      <x:c r="B34" s="354"/>
      <x:c r="C34" s="354"/>
      <x:c r="D34" s="354"/>
      <x:c r="E34" s="354"/>
      <x:c r="F34" s="354"/>
      <x:c r="G34" s="354"/>
      <x:c r="H34" s="354"/>
    </x:row>
    <x:row r="35" ht="30" customHeight="1">
      <x:c r="A35" s="362" t="str">
        <x:v>Open the Usability Guide tab for current data tiers and verification results.</x:v>
      </x:c>
      <x:c r="B35" s="362"/>
      <x:c r="C35" s="362"/>
      <x:c r="D35" s="362"/>
      <x:c r="E35" s="362"/>
      <x:c r="F35" s="362"/>
      <x:c r="G35" s="362"/>
      <x:c r="H35" s="362"/>
    </x:row>
  </x:sheetData>
  <x:mergeCells>
    <x:mergeCell ref="A1:H1"/>
    <x:mergeCell ref="A2:H2"/>
    <x:mergeCell ref="A16:H16"/>
    <x:mergeCell ref="A17:H17"/>
    <x:mergeCell ref="A26:H26"/>
    <x:mergeCell ref="A28:H28"/>
    <x:mergeCell ref="D29:H31"/>
    <x:mergeCell ref="A34:H34"/>
    <x:mergeCell ref="A35:H35"/>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32" hidden="0" customWidth="1"/>
    <x:col min="5" max="5" width="28" hidden="0" customWidth="1"/>
    <x:col min="6" max="6" width="30" hidden="0" customWidth="1"/>
    <x:col min="7" max="7" width="28" hidden="0" customWidth="1"/>
    <x:col min="8" max="8" width="30" hidden="0" customWidth="1"/>
    <x:col min="9" max="9" width="34" hidden="0" customWidth="1"/>
    <x:col min="10" max="10" width="18" hidden="0" customWidth="1"/>
    <x:col min="11" max="11" width="38" hidden="0" customWidth="1"/>
    <x:col min="12" max="12" width="38" hidden="0" customWidth="1"/>
    <x:col min="13" max="13" width="42" hidden="0" customWidth="1"/>
    <x:col min="14" max="14" width="18" hidden="0" customWidth="1"/>
    <x:col min="15" max="15" width="13" hidden="0" customWidth="1"/>
    <x:col min="16" max="16" width="16" hidden="0" customWidth="1"/>
    <x:col min="17" max="17" width="18" hidden="0" customWidth="1"/>
    <x:col min="18" max="18" width="15" hidden="0" customWidth="1"/>
    <x:col min="19" max="19" width="14" hidden="0" customWidth="1"/>
    <x:col min="20" max="20" width="14" hidden="0" customWidth="1"/>
    <x:col min="21" max="21" width="14" hidden="0" customWidth="1"/>
    <x:col min="22" max="22" width="14" hidden="0" customWidth="1"/>
    <x:col min="23" max="23" width="15" hidden="0" customWidth="1"/>
    <x:col min="24" max="24" width="15" hidden="0" customWidth="1"/>
    <x:col min="25" max="25" width="28" hidden="0" customWidth="1"/>
    <x:col min="26" max="26" width="28" hidden="0" customWidth="1"/>
    <x:col min="27" max="27" width="36" hidden="0" customWidth="1"/>
  </x:cols>
  <x:sheetData>
    <x:row r="1" ht="34" customHeight="1">
      <x:c r="A1" s="6" t="str">
        <x:v>Priority</x:v>
      </x:c>
      <x:c r="B1" s="6" t="str">
        <x:v>Priority Tier</x:v>
      </x:c>
      <x:c r="C1" s="6" t="str">
        <x:v>Country / Region</x:v>
      </x:c>
      <x:c r="D1" s="6" t="str">
        <x:v>Organization</x:v>
      </x:c>
      <x:c r="E1" s="6" t="str">
        <x:v>Program / Office</x:v>
      </x:c>
      <x:c r="F1" s="6" t="str">
        <x:v>Research Role</x:v>
      </x:c>
      <x:c r="G1" s="6" t="str">
        <x:v>Named POC</x:v>
      </x:c>
      <x:c r="H1" s="6" t="str">
        <x:v>POC Role / Office</x:v>
      </x:c>
      <x:c r="I1" s="6" t="str">
        <x:v>Email</x:v>
      </x:c>
      <x:c r="J1" s="6" t="str">
        <x:v>Phone</x:v>
      </x:c>
      <x:c r="K1" s="6" t="str">
        <x:v>Official Website / Intake</x:v>
      </x:c>
      <x:c r="L1" s="6" t="str">
        <x:v>Secondary Source / Dataset</x:v>
      </x:c>
      <x:c r="M1" s="6" t="str">
        <x:v>Postal Address</x:v>
      </x:c>
      <x:c r="N1" s="6" t="str">
        <x:v>Status</x:v>
      </x:c>
      <x:c r="O1" s="6" t="str">
        <x:v>Date Sent</x:v>
      </x:c>
      <x:c r="P1" s="6" t="str">
        <x:v>Delivery Method</x:v>
      </x:c>
      <x:c r="Q1" s="6" t="str">
        <x:v>Tracking Number</x:v>
      </x:c>
      <x:c r="R1" s="6" t="str">
        <x:v>Mail Receipt Date</x:v>
      </x:c>
      <x:c r="S1" s="6" t="str">
        <x:v>Acknowledged?</x:v>
      </x:c>
      <x:c r="T1" s="6" t="str">
        <x:v>Response Date</x:v>
      </x:c>
      <x:c r="U1" s="6" t="str">
        <x:v>Data Approved?</x:v>
      </x:c>
      <x:c r="V1" s="6" t="str">
        <x:v>Data Received?</x:v>
      </x:c>
      <x:c r="W1" s="6" t="str">
        <x:v>Data Received Date</x:v>
      </x:c>
      <x:c r="X1" s="6" t="str">
        <x:v>Follow-Up Date</x:v>
      </x:c>
      <x:c r="Y1" s="6" t="str">
        <x:v>Outcome</x:v>
      </x:c>
      <x:c r="Z1" s="6" t="str">
        <x:v>Named Technical Contact</x:v>
      </x:c>
      <x:c r="AA1" s="6" t="str">
        <x:v>Notes</x:v>
      </x:c>
    </x:row>
    <x:row r="2" ht="172" customHeight="1">
      <x:c r="A2" s="38" t="n">
        <x:v>1</x:v>
      </x:c>
      <x:c r="B2" s="38" t="str">
        <x:v>Tier 1 - Primary</x:v>
      </x:c>
      <x:c r="C2" s="38" t="str">
        <x:v>Japan</x:v>
      </x:c>
      <x:c r="D2" s="38" t="str">
        <x:v>NICT — World Data Center for Ionosphere &amp; Space Weather</x:v>
      </x:c>
      <x:c r="E2" s="38" t="str">
        <x:v>NICT ionospheric research group — Space Environment Laboratory</x:v>
      </x:c>
      <x:c r="F2" s="38" t="str">
        <x:v>Ground-based ionospheric observations; potential ionosonde/TEC source guidance. Network metrics remain unconfirmed.</x:v>
      </x:c>
      <x:c r="G2" s="38" t="str">
        <x:v>Dr. Septi Perwitasari</x:v>
      </x:c>
      <x:c r="H2" s="38" t="str">
        <x:v>Senior Researcher; Space Environment Laboratory; Electromagnetic Advanced and Infrastructure Research Center; Radio Research Institute; NICT</x:v>
      </x:c>
      <x:c r="I2" s="38" t="str">
        <x:v>septi.perwitasari@nict.go.jp; mailing list: iono@ml.nict.go.jp</x:v>
      </x:c>
      <x:c r="J2" s="38" t="str">
        <x:v>+81 42 327 7339 (signature: +81 042-327-7339)</x:v>
      </x:c>
      <x:c r="K2" s="38" t="str">
        <x:v>https://wdc.nict.go.jp/wdc-top/contact.html</x:v>
      </x:c>
      <x:c r="L2" s="38" t="str">
        <x:v>https://swc.nict.go.jp/en/</x:v>
      </x:c>
      <x:c r="M2" s="38" t="str">
        <x:v>Space Environment Laboratory, Applied Electromagnetic Research Center, NICT, 4-2-1 Nukui-Kitamachi, Koganei, Tokyo 184-8795, JAPAN</x:v>
      </x:c>
      <x:c r="N2" s="38" t="str">
        <x:v>Responded — clarification requested; product selection pending</x:v>
      </x:c>
      <x:c r="O2" s="81" t="n">
        <x:v>46251</x:v>
      </x:c>
      <x:c r="P2" s="38" t="str">
        <x:v>USPS First-Class Mail International</x:v>
      </x:c>
      <x:c r="Q2" s="38" t="str"/>
      <x:c r="R2" s="40" t="str"/>
      <x:c r="S2" s="38" t="str">
        <x:v>Yes — substantive researcher response</x:v>
      </x:c>
      <x:c r="T2" s="254" t="n">
        <x:v>46279</x:v>
      </x:c>
      <x:c r="U2" s="38" t="str">
        <x:v>Not established; product-specific public access and reuse terms pending</x:v>
      </x:c>
      <x:c r="V2" s="38" t="str">
        <x:v>No files or dataset-specific links supplied in this reply</x:v>
      </x:c>
      <x:c r="W2" s="81" t="str"/>
      <x:c r="X2" s="81" t="n">
        <x:v>46278</x:v>
      </x:c>
      <x:c r="Y2" s="38" t="str">
        <x:v>Aug 17 mailed package; Sep 13 follow-up sent from NAC Gmail with methodology slides. Sep 14, Carlo supplied a reply from Dr. Perwitasari: presentation reviewed; group primarily supplies ground-based ionospheric observations; asks which ionosonde/TEC/other parameters are needed and offers direction. No further clarification shown sent.</x:v>
      </x:c>
      <x:c r="Z2" s="38" t="str">
        <x:v>Dr. Septi Perwitasari — septi.perwitasari@nict.go.jp</x:v>
      </x:c>
      <x:c r="AA2" s="38" t="str">
        <x:v>Source: User screenshots 1000717532.jpg, 1000717533.jpg, 1000717534.jpg; received date reported by Carlo: 14 Sep 2026. Thread: [iono 573]. Direct satellite-link latency, loss, uptime/downtime and queueing are not confirmed, not an institution-wide denial. Screenshot 1000717532.jpg is a reply-composition screen, not sent-message evidence. Original reply timestamp/timezone and Message-ID are not visible. Current NAC mailbox lookup did not locate the new school-account reply. Prior Sep 13 sent evidence: https://mail.google.com/mail/u/?authuser=ninoabstractconsulting%40gmail.com#all/1a09c6bfd2dad5ac .</x:v>
      </x:c>
    </x:row>
    <x:row r="3">
      <x:c r="A3" s="18" t="n">
        <x:v>2</x:v>
      </x:c>
      <x:c r="B3" s="18" t="str">
        <x:v>Tier 1 - Primary</x:v>
      </x:c>
      <x:c r="C3" s="18" t="str">
        <x:v>Canada</x:v>
      </x:c>
      <x:c r="D3" s="18" t="str">
        <x:v>University of Victoria — Starlink@PanLab / LENS</x:v>
      </x:c>
      <x:c r="E3" s="18" t="str">
        <x:v>Starlink@PanLab / LENS</x:v>
      </x:c>
      <x:c r="F3" s="18" t="str">
        <x:v>LEO latency / one-way delay / network performance</x:v>
      </x:c>
      <x:c r="G3" s="18" t="str">
        <x:v>Jinwei Zhao; Prof. Jianping Pan</x:v>
      </x:c>
      <x:c r="H3" s="18" t="str">
        <x:v>LEO-network researcher / LENS author; PanLab lead</x:v>
      </x:c>
      <x:c r="I3" s="18" t="str">
        <x:v>clarkzjw@uvic.ca; pan@uvic.ca</x:v>
      </x:c>
      <x:c r="J3" s="18" t="str">
        <x:v>+1 250-472-5796</x:v>
      </x:c>
      <x:c r="K3" s="18" t="str">
        <x:v>https://onlineacademiccommunity.uvic.ca/starlink/</x:v>
      </x:c>
      <x:c r="L3" s="18" t="str">
        <x:v>https://github.com/clarkzjw/LENS</x:v>
      </x:c>
      <x:c r="M3" s="18" t="str">
        <x:v>Department of Computer Science, University of Victoria, PO Box 3055 STN CSC, Victoria, BC V8W 3P6, CANADA</x:v>
      </x:c>
      <x:c r="N3" s="18" t="str">
        <x:v>Replied — clarification requested; follow-up sent</x:v>
      </x:c>
      <x:c r="O3" s="82" t="n">
        <x:v>46251</x:v>
      </x:c>
      <x:c r="P3" s="18" t="str">
        <x:v>USPS First-Class Mail International</x:v>
      </x:c>
      <x:c r="Q3" s="18"/>
      <x:c r="R3" s="41"/>
      <x:c r="S3" s="18" t="str">
        <x:v>Yes</x:v>
      </x:c>
      <x:c r="T3" s="82" t="n">
        <x:v>46277</x:v>
      </x:c>
      <x:c r="U3" s="18" t="str">
        <x:v>Pending clarification</x:v>
      </x:c>
      <x:c r="V3" s="18" t="str">
        <x:v>No</x:v>
      </x:c>
      <x:c r="W3" s="82"/>
      <x:c r="X3" s="82" t="n">
        <x:v>46278</x:v>
      </x:c>
      <x:c r="Y3" s="18" t="str">
        <x:v>Prof. Jianping Pan confirmed receipt and asked what specific LENS dataset variables/files were needed. Clarification was sent requesting empirical Starlink/LENS network-behavior fields for latency, loss, throughput, outages, handovers/path changes, PoP/gateway context, terminal/SNR/obstruction telemetry, timestamps/cadence, and outage-vs-missing metadata. Awaiting follow-up.</x:v>
      </x:c>
      <x:c r="Z3" s="18" t="str">
        <x:v>Prof. Jianping Pan</x:v>
      </x:c>
      <x:c r="AA3" s="18" t="str">
        <x:v>Reply contact: Pan@UVic.CA; +1 250-472-5796 (NO VM); https://web.uvic.ca/~pan . No dataset or download link has been delivered yet. 15 Sep: public LENS repository independently located; it was not supplied in a new researcher reply. Later follow-up drafts exist; sending not established. Preferred dataset/paper citation and exact fields remain to confirm.</x:v>
      </x:c>
    </x:row>
    <x:row r="4">
      <x:c r="A4" s="18" t="n">
        <x:v>3</x:v>
      </x:c>
      <x:c r="B4" s="18" t="str">
        <x:v>Tier 1 - Primary</x:v>
      </x:c>
      <x:c r="C4" s="18" t="str">
        <x:v>Germany / Netherlands</x:v>
      </x:c>
      <x:c r="D4" s="18" t="str">
        <x:v>WetLinks — Osnabrück University / University of Twente</x:v>
      </x:c>
      <x:c r="E4" s="18" t="str">
        <x:v>WetLinks</x:v>
      </x:c>
      <x:c r="F4" s="18" t="str">
        <x:v>Starlink RTT / packet loss / throughput / traceroute / weather</x:v>
      </x:c>
      <x:c r="G4" s="18" t="str">
        <x:v>Dominic Laniewski; Prof. Nils Aschenbruck; Prof. Roland van Rijswijk-Deij</x:v>
      </x:c>
      <x:c r="H4" s="18" t="str">
        <x:v>WetLinks author; Distributed Systems; University of Twente</x:v>
      </x:c>
      <x:c r="I4" s="18" t="str">
        <x:v>laniewski@uni-osnabrueck.de; aschenbruck@uni-osnabrueck.de; r.m.vanrijswijk@utwente.nl</x:v>
      </x:c>
      <x:c r="J4" s="18" t="str"/>
      <x:c r="K4" s="18" t="str">
        <x:v>https://arxiv.org/abs/2402.16448</x:v>
      </x:c>
      <x:c r="L4" s="18" t="str">
        <x:v>https://www.uni-osnabrueck.de/fb6/informatik/sys/team/laniewski</x:v>
      </x:c>
      <x:c r="M4" s="18" t="str">
        <x:v>Distributed Systems Group, Institute of Computer Science, Osnabrück University, Postfach 4469, D-49069 Osnabrück, GERMANY</x:v>
      </x:c>
      <x:c r="N4" s="18" t="str">
        <x:v>Satisfied — WetLinks package received; no separate Twente follow-up needed</x:v>
      </x:c>
      <x:c r="O4" s="82" t="n">
        <x:v>46251</x:v>
      </x:c>
      <x:c r="P4" s="18" t="str">
        <x:v>USPS First-Class Mail International</x:v>
      </x:c>
      <x:c r="Q4" s="18"/>
      <x:c r="R4" s="41"/>
      <x:c r="S4" s="18" t="str">
        <x:v>Yes — Osnabrück</x:v>
      </x:c>
      <x:c r="T4" s="82" t="n">
        <x:v>46259</x:v>
      </x:c>
      <x:c r="U4" s="18" t="str">
        <x:v>Public / open data provided</x:v>
      </x:c>
      <x:c r="V4" s="18" t="str">
        <x:v>Yes — public links</x:v>
      </x:c>
      <x:c r="W4" s="82" t="n">
        <x:v>46259</x:v>
      </x:c>
      <x:c r="X4" s="82" t="n">
        <x:v>46266</x:v>
      </x:c>
      <x:c r="Y4" s="18" t="str">
        <x:v>Prof. Dr. Nils Aschenbruck (Osnabrück University) provided the WetLinks-related public repositories/tools and newest dataset DOI. This satisfies the current WetLinks request across the Germany/Netherlands collaboration; no separate University of Twente follow-up is required unless a later analysis creates a Twente-specific question.</x:v>
      </x:c>
      <x:c r="Z4" s="18" t="str">
        <x:v>Prof. Dr. Nils Aschenbruck (Osnabrück University)</x:v>
      </x:c>
      <x:c r="AA4" s="18" t="str">
        <x:v>WetLinks package received: https://github.com/sys-uos ; dataset DOI https://doi.org/10.26249/FK2/YXPS4G ; associated paper DOI https://doi.org/10.1145/3789240.3827586 . Related materials include WetLinks, Starlink-on-the-Road, and Starlink-on-the-Autobahn. Treat this research thread as satisfied unless a later modeling question specifically requires University of Twente input.</x:v>
      </x:c>
    </x:row>
    <x:row r="5">
      <x:c r="A5" s="18" t="n">
        <x:v>4</x:v>
      </x:c>
      <x:c r="B5" s="18" t="str">
        <x:v>Tier 1 - Primary</x:v>
      </x:c>
      <x:c r="C5" s="18" t="str">
        <x:v>Netherlands</x:v>
      </x:c>
      <x:c r="D5" s="18" t="str">
        <x:v>RIPE NCC — RIPE Atlas</x:v>
      </x:c>
      <x:c r="E5" s="18" t="str">
        <x:v>RIPE Atlas</x:v>
      </x:c>
      <x:c r="F5" s="18" t="str">
        <x:v>Independent active Internet measurements / ping / traceroute</x:v>
      </x:c>
      <x:c r="G5" s="18" t="str">
        <x:v>RIPE Atlas Team</x:v>
      </x:c>
      <x:c r="H5" s="18" t="str">
        <x:v>Technical support and measurement-program team</x:v>
      </x:c>
      <x:c r="I5" s="18" t="str">
        <x:v>atlas@ripe.net</x:v>
      </x:c>
      <x:c r="J5" s="18" t="str"/>
      <x:c r="K5" s="18" t="str">
        <x:v>https://atlas.ripe.net/</x:v>
      </x:c>
      <x:c r="L5" s="18" t="str">
        <x:v>https://www.ripe.net/about-us/support/contact/contact-us/</x:v>
      </x:c>
      <x:c r="M5" s="18" t="str">
        <x:v>RIPE NCC, P.O. Box 10096, 1001 EB Amsterdam, NETHERLANDS</x:v>
      </x:c>
      <x:c r="N5" s="18" t="str">
        <x:v>Not Contacted</x:v>
      </x:c>
      <x:c r="O5" s="82" t="str"/>
      <x:c r="P5" s="18" t="str"/>
      <x:c r="Q5" s="18" t="str"/>
      <x:c r="R5" s="41" t="str"/>
      <x:c r="S5" s="18" t="str"/>
      <x:c r="T5" s="82" t="str"/>
      <x:c r="U5" s="18" t="str"/>
      <x:c r="V5" s="18" t="str"/>
      <x:c r="W5" s="82" t="str"/>
      <x:c r="X5" s="82" t="str"/>
      <x:c r="Y5" s="18" t="str"/>
      <x:c r="Z5" s="18" t="str"/>
      <x:c r="AA5" s="18" t="str"/>
    </x:row>
    <x:row r="6">
      <x:c r="A6" s="18" t="n">
        <x:v>5</x:v>
      </x:c>
      <x:c r="B6" s="18" t="str">
        <x:v>Tier 1 - Primary</x:v>
      </x:c>
      <x:c r="C6" s="18" t="str">
        <x:v>New Zealand</x:v>
      </x:c>
      <x:c r="D6" s="18" t="str">
        <x:v>University of Otago — Solar Tsunamis / MANA Network</x:v>
      </x:c>
      <x:c r="E6" s="18" t="str">
        <x:v>MANA Network</x:v>
      </x:c>
      <x:c r="F6" s="18" t="str">
        <x:v>Geomagnetic observations / Southern Hemisphere environmental stress</x:v>
      </x:c>
      <x:c r="G6" s="18" t="str">
        <x:v>Dr Johnny Malone-Leigh; Prof. Craig Rodger; Lisa Evans</x:v>
      </x:c>
      <x:c r="H6" s="18" t="str">
        <x:v>MANA Deployment Lead; Principal Investigator; Project Manager</x:v>
      </x:c>
      <x:c r="I6" s="18" t="str">
        <x:v>john.m.leigh@otago.ac.nz; craig.rodger@otago.ac.nz; lisa.evans@otago.ac.nz</x:v>
      </x:c>
      <x:c r="J6" s="18" t="str"/>
      <x:c r="K6" s="18" t="str">
        <x:v>https://solartsunamis.otago.ac.nz/mana/mana-data/</x:v>
      </x:c>
      <x:c r="L6" s="18" t="str">
        <x:v>https://solartsunamis.otago.ac.nz/mana/mana-contacts/</x:v>
      </x:c>
      <x:c r="M6" s="18" t="str">
        <x:v>University of Otago, PO Box 56, Dunedin 9054, NEW ZEALAND</x:v>
      </x:c>
      <x:c r="N6" s="18" t="str">
        <x:v>Not Contacted</x:v>
      </x:c>
      <x:c r="O6" s="82" t="str"/>
      <x:c r="P6" s="18" t="str"/>
      <x:c r="Q6" s="18" t="str"/>
      <x:c r="R6" s="41" t="str"/>
      <x:c r="S6" s="18" t="str"/>
      <x:c r="T6" s="82" t="str"/>
      <x:c r="U6" s="18" t="str"/>
      <x:c r="V6" s="18" t="str"/>
      <x:c r="W6" s="82" t="str"/>
      <x:c r="X6" s="82" t="str"/>
      <x:c r="Y6" s="18" t="str"/>
      <x:c r="Z6" s="18" t="str"/>
      <x:c r="AA6" s="18" t="str"/>
    </x:row>
    <x:row r="7">
      <x:c r="A7" s="18" t="n">
        <x:v>6</x:v>
      </x:c>
      <x:c r="B7" s="18" t="str">
        <x:v>Tier 1 - Primary</x:v>
      </x:c>
      <x:c r="C7" s="18" t="str">
        <x:v>New Zealand</x:v>
      </x:c>
      <x:c r="D7" s="18" t="str">
        <x:v>Earth Sciences New Zealand — Geomagnetism Project</x:v>
      </x:c>
      <x:c r="E7" s="18" t="str">
        <x:v>Geomagnetism Project</x:v>
      </x:c>
      <x:c r="F7" s="18" t="str">
        <x:v>Geomagnetic observatory / INTERMAGNET / Scott Base context</x:v>
      </x:c>
      <x:c r="G7" s="18" t="str">
        <x:v>Dr Tanja Petersen</x:v>
      </x:c>
      <x:c r="H7" s="18" t="str">
        <x:v>Applied Research Specialist / Project Leader, Geomagnetism</x:v>
      </x:c>
      <x:c r="I7" s="18" t="str"/>
      <x:c r="J7" s="18" t="str">
        <x:v>+64 4 570 1444</x:v>
      </x:c>
      <x:c r="K7" s="18" t="str">
        <x:v>https://www.gns.cri.nz/about-us/staff-search/tanja-petersen/</x:v>
      </x:c>
      <x:c r="L7" s="18" t="str"/>
      <x:c r="M7" s="18" t="str">
        <x:v>Avalon Campus, 1 Fairway Drive, Avalon 5011; PO Box 30-368, Lower Hutt 5040, NEW ZEALAND</x:v>
      </x:c>
      <x:c r="N7" s="18" t="str">
        <x:v>Not Contacted</x:v>
      </x:c>
      <x:c r="O7" s="82" t="str"/>
      <x:c r="P7" s="18" t="str"/>
      <x:c r="Q7" s="18" t="str"/>
      <x:c r="R7" s="41" t="str"/>
      <x:c r="S7" s="18" t="str"/>
      <x:c r="T7" s="82" t="str"/>
      <x:c r="U7" s="18" t="str"/>
      <x:c r="V7" s="18" t="str"/>
      <x:c r="W7" s="82" t="str"/>
      <x:c r="X7" s="82" t="str"/>
      <x:c r="Y7" s="18" t="str"/>
      <x:c r="Z7" s="18" t="str"/>
      <x:c r="AA7" s="18" t="str"/>
    </x:row>
    <x:row r="8" ht="156" customHeight="1">
      <x:c r="A8" s="26" t="n">
        <x:v>7</x:v>
      </x:c>
      <x:c r="B8" s="26" t="str">
        <x:v>Tier 2 - Secondary</x:v>
      </x:c>
      <x:c r="C8" s="26" t="str">
        <x:v>Australia</x:v>
      </x:c>
      <x:c r="D8" s="26" t="str">
        <x:v>Australian Space Weather Forecasting Centre — Bureau of Meteorology</x:v>
      </x:c>
      <x:c r="E8" s="26" t="str">
        <x:v>Australian Space Weather Forecasting Centre</x:v>
      </x:c>
      <x:c r="F8" s="26" t="str">
        <x:v>Australian regional space-weather / HF-fadeout / ionospheric inputs; external solar-flare and planetary Kp referrals</x:v>
      </x:c>
      <x:c r="G8" s="135" t="str">
        <x:v>Cassie Marshall</x:v>
      </x:c>
      <x:c r="H8" s="135" t="str">
        <x:v>Australian Space Weather Forecasting Centre; National Security and Space Program; Business Solutions Group</x:v>
      </x:c>
      <x:c r="I8" s="135" t="str">
        <x:v>ASWFC@bom.gov.au; space@bom.gov.au (original request recipient)</x:v>
      </x:c>
      <x:c r="J8" s="135" t="str">
        <x:v>+61 8 8366 2628</x:v>
      </x:c>
      <x:c r="K8" s="26" t="str">
        <x:v>https://www.sws.bom.gov.au/Contact_Us</x:v>
      </x:c>
      <x:c r="L8" s="26" t="str">
        <x:v>https://listserver.ips.gov.au/pipermail/ips-swf-alert/</x:v>
      </x:c>
      <x:c r="M8" s="26" t="str">
        <x:v>Australian Space Weather Forecasting Centre, Bureau of Meteorology, Lot Fourteen, Adelaide SA 5000, AUSTRALIA</x:v>
      </x:c>
      <x:c r="N8" s="135" t="str">
        <x:v>Responded — archive/API links and citation guidance received</x:v>
      </x:c>
      <x:c r="O8" s="83" t="n">
        <x:v>46251</x:v>
      </x:c>
      <x:c r="P8" s="26" t="str">
        <x:v>USPS Aug 17; email follow-up Sep 13; ASWFC reply Sep 13</x:v>
      </x:c>
      <x:c r="Q8" s="26"/>
      <x:c r="R8" s="42"/>
      <x:c r="S8" s="26" t="str">
        <x:v>Yes — substantive email from Cassie Marshall</x:v>
      </x:c>
      <x:c r="T8" s="83" t="n">
        <x:v>46278</x:v>
      </x:c>
      <x:c r="U8" s="26" t="str">
        <x:v>Archive pointers supplied; dataset-specific reuse terms not yet reviewed</x:v>
      </x:c>
      <x:c r="V8" s="26" t="str">
        <x:v>Links received; no files downloaded or assessed</x:v>
      </x:c>
      <x:c r="W8" s="83"/>
      <x:c r="X8" s="83" t="n">
        <x:v>46278</x:v>
      </x:c>
      <x:c r="Y8" s="26" t="str">
        <x:v>Sep 13: Cassie Marshall supplied 8 archive/API/product links. Australian HF fadeouts, foF2 and K-index records; external flare and planetary Kp referrals. Asked whether Australian regional K-index records are needed. Source inspection and file selection remain open.</x:v>
      </x:c>
      <x:c r="Z8" s="26" t="str">
        <x:v>Cassie Marshall — ASWFC@bom.gov.au; +61 8 8366 2628</x:v>
      </x:c>
      <x:c r="AA8" s="26" t="str">
        <x:v>Cite ASWFC/Bureau for its products. Do not cite Bureau as the source of X-ray flux. No direct satellite latency/loss/queue data identified in this reply. See Australia Update 13 Sep and Australia Sources tabs.</x:v>
      </x:c>
    </x:row>
    <x:row r="9">
      <x:c r="A9" s="26" t="n">
        <x:v>8</x:v>
      </x:c>
      <x:c r="B9" s="26" t="str">
        <x:v>Tier 2 - Secondary</x:v>
      </x:c>
      <x:c r="C9" s="26" t="str">
        <x:v>United Kingdom</x:v>
      </x:c>
      <x:c r="D9" s="26" t="str">
        <x:v>UK Met Office — Space Weather Operations Centre (MOSWOC)</x:v>
      </x:c>
      <x:c r="E9" s="26" t="str">
        <x:v>MOSWOC</x:v>
      </x:c>
      <x:c r="F9" s="26" t="str">
        <x:v>Operational solar-flare / radio-blackout / CME / geomagnetic interpretation</x:v>
      </x:c>
      <x:c r="G9" s="26" t="str">
        <x:v>Mark Gibbs</x:v>
      </x:c>
      <x:c r="H9" s="26" t="str">
        <x:v>Publicly identified Head of Space Weather / MOSWOC</x:v>
      </x:c>
      <x:c r="I9" s="26" t="str">
        <x:v>enquiries@metoffice.gov.uk</x:v>
      </x:c>
      <x:c r="J9" s="26" t="str">
        <x:v>+44 330 135 0000</x:v>
      </x:c>
      <x:c r="K9" s="26" t="str">
        <x:v>https://weather.metoffice.gov.uk/learn-about/space-weather/met-office-role</x:v>
      </x:c>
      <x:c r="L9" s="26" t="str">
        <x:v>https://www.metoffice.gov.uk/about-us/contact</x:v>
      </x:c>
      <x:c r="M9" s="26" t="str">
        <x:v>Met Office, FitzRoy Road, Exeter, Devon EX1 3PB, UNITED KINGDOM</x:v>
      </x:c>
      <x:c r="N9" s="26" t="str">
        <x:v>Not Contacted</x:v>
      </x:c>
      <x:c r="O9" s="83" t="str"/>
      <x:c r="P9" s="26" t="str"/>
      <x:c r="Q9" s="26" t="str"/>
      <x:c r="R9" s="42" t="str"/>
      <x:c r="S9" s="26" t="str"/>
      <x:c r="T9" s="83" t="str"/>
      <x:c r="U9" s="26" t="str"/>
      <x:c r="V9" s="26" t="str"/>
      <x:c r="W9" s="83" t="str"/>
      <x:c r="X9" s="83" t="str"/>
      <x:c r="Y9" s="26" t="str"/>
      <x:c r="Z9" s="26" t="str"/>
      <x:c r="AA9" s="26" t="str"/>
    </x:row>
    <x:row r="10">
      <x:c r="A10" s="26" t="n">
        <x:v>9</x:v>
      </x:c>
      <x:c r="B10" s="26" t="str">
        <x:v>Tier 2 - Secondary</x:v>
      </x:c>
      <x:c r="C10" s="26" t="str">
        <x:v>South Africa</x:v>
      </x:c>
      <x:c r="D10" s="26" t="str">
        <x:v>SANSA — Space Weather Centre</x:v>
      </x:c>
      <x:c r="E10" s="26" t="str">
        <x:v>SANSA Space Weather Centre</x:v>
      </x:c>
      <x:c r="F10" s="26" t="str">
        <x:v>Geomagnetic environmental inputs. No publicly available direct satellite-link latency, packet-loss or service-availability datasets, confirmed by SANSA.</x:v>
      </x:c>
      <x:c r="G10" s="26" t="str">
        <x:v>Kate Niemantinga; Mpho Tshisaphungo</x:v>
      </x:c>
      <x:c r="H10" s="26" t="str">
        <x:v>Data Operations Specialist; Space Weather Manager</x:v>
      </x:c>
      <x:c r="I10" s="26" t="str">
        <x:v>kniemantinga@sansa.org.za; mtshisaphungo@sansa.org.za; spaceweather@sansa.org.za</x:v>
      </x:c>
      <x:c r="J10" s="26" t="str">
        <x:v>Kate: +27 28 285 0056; Mpho: +27 28 285 0101</x:v>
      </x:c>
      <x:c r="K10" s="26" t="str">
        <x:v>https://www.sansa.org.za/products-and-services/space-science/</x:v>
      </x:c>
      <x:c r="L10" s="26" t="str">
        <x:v>https://spaceweather.sansa.org.za/products-and-services/current-conditions/geomagnetic-data</x:v>
      </x:c>
      <x:c r="M10" s="26" t="str">
        <x:v>SANSA, Hospital Street, Hermanus 7200; PO Box 32, Hermanus 7200, SOUTH AFRICA</x:v>
      </x:c>
      <x:c r="N10" s="111" t="str">
        <x:v>Responded — public geomagnetic-data route and research-use terms supplied</x:v>
      </x:c>
      <x:c r="O10" s="83" t="n">
        <x:v>46251</x:v>
      </x:c>
      <x:c r="P10" s="26" t="str">
        <x:v>USPS First-Class Mail International</x:v>
      </x:c>
      <x:c r="Q10" s="26" t="str"/>
      <x:c r="R10" s="42" t="str"/>
      <x:c r="S10" s="26" t="str">
        <x:v>Yes — Mpho referral and Kate substantive response</x:v>
      </x:c>
      <x:c r="T10" s="42" t="n">
        <x:v>46279</x:v>
      </x:c>
      <x:c r="U10" s="26" t="str">
        <x:v>Free for scientific/research use per Kate; commercial use subject to tariffs/conditions. Product-specific terms still to inspect.</x:v>
      </x:c>
      <x:c r="V10" s="26" t="str">
        <x:v>Public link received; no data files downloaded or inspected</x:v>
      </x:c>
      <x:c r="W10" s="83" t="str"/>
      <x:c r="X10" s="83" t="n">
        <x:v>46278</x:v>
      </x:c>
      <x:c r="Y10" s="26" t="str">
        <x:v>Aug 17 postal package; Sep 13 general and targeted RFIs. Sep 14: Mpho referred to Kate. Kate provided a public geomagnetic-data link, free research-use guidance and the HER acknowledgment; offered to check historical availability once datasets/date ranges are specified. Confirmed no public direct satellite-link performance datasets.</x:v>
      </x:c>
      <x:c r="Z10" s="26" t="str">
        <x:v>Kate Niemantinga — Data Operations Specialist — kniemantinga@sansa.org.za</x:v>
      </x:c>
      <x:c r="AA10" s="26" t="str">
        <x:v>Historical range assistance is conditional, not a data-delivery commitment. Direct-link latency, packet loss and service availability: provider-confirmed not publicly available. Cadence, units, quality flags and specific historical files not yet inspected. Kate mobile +27 72 295 8447; Mpho mobile +27 82 614 5836. Evidence: https://mail.google.com/mail/#all/1a09f75205d0f3f4 ; referral: https://mail.google.com/mail/#all/1a09ef3198bfce8e. Prior Sept 13 evidence preserved in dated tabs. 15 Sep 2026: Dr. Mpho Tshisaphungo accepted LinkedIn connection (~00:45 Pacific) and replied 'Thanks, lets keep connected.' User screenshots 1000717546.jpg / 1000717548.jpg. Relationship event only; not new dataset evidence. Use she/her as corrected by Carlo; retain email-signature role.</x:v>
      </x:c>
    </x:row>
    <x:row r="11">
      <x:c r="A11" s="26" t="n">
        <x:v>10</x:v>
      </x:c>
      <x:c r="B11" s="26" t="str">
        <x:v>Tier 2 - Secondary</x:v>
      </x:c>
      <x:c r="C11" s="26" t="str">
        <x:v>Belgium / ESA</x:v>
      </x:c>
      <x:c r="D11" s="26" t="str">
        <x:v>ESA — Space Weather Service Network</x:v>
      </x:c>
      <x:c r="E11" s="26" t="str">
        <x:v>SWE Service Helpdesk / Space Weather Coordination Centre</x:v>
      </x:c>
      <x:c r="F11" s="26" t="str">
        <x:v>European space-weather products / archive / API / V&amp;V support</x:v>
      </x:c>
      <x:c r="G11" s="26" t="str">
        <x:v>SWE Service Helpdesk</x:v>
      </x:c>
      <x:c r="H11" s="26" t="str">
        <x:v>Space Weather Coordination Centre technical helpdesk</x:v>
      </x:c>
      <x:c r="I11" s="26" t="str">
        <x:v>helpdesk.swe@esa.int</x:v>
      </x:c>
      <x:c r="J11" s="26" t="str">
        <x:v>+32 2 7903 913</x:v>
      </x:c>
      <x:c r="K11" s="26" t="str">
        <x:v>https://swe.ssa.esa.int/contact</x:v>
      </x:c>
      <x:c r="L11" s="26" t="str"/>
      <x:c r="M11" s="26" t="str">
        <x:v>SSA Space Weather Coordination Centre, Space Pole, Avenue Circulaire–Ringlaan 3, 1180 Uccle–Ukkel, BELGIUM</x:v>
      </x:c>
      <x:c r="N11" s="26" t="str">
        <x:v>Not Contacted</x:v>
      </x:c>
      <x:c r="O11" s="42" t="str"/>
      <x:c r="P11" s="26" t="str"/>
      <x:c r="Q11" s="26" t="str"/>
      <x:c r="R11" s="42" t="str"/>
      <x:c r="S11" s="26" t="str"/>
      <x:c r="T11" s="42" t="str"/>
      <x:c r="U11" s="26" t="str"/>
      <x:c r="V11" s="26" t="str"/>
      <x:c r="W11" s="42" t="str"/>
      <x:c r="X11" s="42" t="str"/>
      <x:c r="Y11" s="26" t="str"/>
      <x:c r="Z11" s="26" t="str"/>
      <x:c r="AA11" s="26" t="str"/>
    </x:row>
    <x:row r="12">
      <x:c r="A12" s="34" t="n">
        <x:v>11</x:v>
      </x:c>
      <x:c r="B12" s="34" t="str">
        <x:v>Tier 3 - Supporting</x:v>
      </x:c>
      <x:c r="C12" s="34" t="str">
        <x:v>Germany</x:v>
      </x:c>
      <x:c r="D12" s="34" t="str">
        <x:v>EUMETSAT — User Service Helpdesk</x:v>
      </x:c>
      <x:c r="E12" s="34" t="str">
        <x:v>EUMETSAT User Service</x:v>
      </x:c>
      <x:c r="F12" s="34" t="str">
        <x:v>Atmospheric / precipitation / ground-station environmental availability</x:v>
      </x:c>
      <x:c r="G12" s="34" t="str">
        <x:v>User Service Helpdesk</x:v>
      </x:c>
      <x:c r="H12" s="34" t="str">
        <x:v>Data and product support</x:v>
      </x:c>
      <x:c r="I12" s="34" t="str">
        <x:v>ops@eumetsat.int</x:v>
      </x:c>
      <x:c r="J12" s="34" t="str">
        <x:v>+49 6151 807 3660/3770</x:v>
      </x:c>
      <x:c r="K12" s="34" t="str">
        <x:v>https://www.eumetsat.int/contact-eumetsat</x:v>
      </x:c>
      <x:c r="L12" s="34" t="str">
        <x:v>https://user.eumetsat.int/</x:v>
      </x:c>
      <x:c r="M12" s="34" t="str">
        <x:v>EUMETSAT, Eumetsat-Allee 1, 64295 Darmstadt, GERMANY</x:v>
      </x:c>
      <x:c r="N12" s="34" t="str">
        <x:v>Not Contacted</x:v>
      </x:c>
      <x:c r="O12" s="43" t="str"/>
      <x:c r="P12" s="34" t="str"/>
      <x:c r="Q12" s="34" t="str"/>
      <x:c r="R12" s="43" t="str"/>
      <x:c r="S12" s="34" t="str"/>
      <x:c r="T12" s="43" t="str"/>
      <x:c r="U12" s="34" t="str"/>
      <x:c r="V12" s="34" t="str"/>
      <x:c r="W12" s="43" t="str"/>
      <x:c r="X12" s="43" t="str"/>
      <x:c r="Y12" s="34" t="str"/>
      <x:c r="Z12" s="34" t="str"/>
      <x:c r="AA12" s="34" t="str"/>
    </x:row>
    <x:row r="13">
      <x:c r="A13" s="34" t="n">
        <x:v>12</x:v>
      </x:c>
      <x:c r="B13" s="34" t="str">
        <x:v>Tier 3 - Supporting</x:v>
      </x:c>
      <x:c r="C13" s="34" t="str">
        <x:v>New Zealand</x:v>
      </x:c>
      <x:c r="D13" s="34" t="str">
        <x:v>New Zealand Space Agency</x:v>
      </x:c>
      <x:c r="E13" s="34" t="str">
        <x:v>New Zealand Space Agency / MBIE</x:v>
      </x:c>
      <x:c r="F13" s="34" t="str">
        <x:v>Referral / ecosystem access / public NZ space research and infrastructure</x:v>
      </x:c>
      <x:c r="G13" s="34" t="str">
        <x:v>New Zealand Space Agency / MBIE</x:v>
      </x:c>
      <x:c r="H13" s="34" t="str">
        <x:v>Government space-sector intake</x:v>
      </x:c>
      <x:c r="I13" s="34" t="str">
        <x:v>nzspaceagency@mbie.govt.nz</x:v>
      </x:c>
      <x:c r="J13" s="34" t="str"/>
      <x:c r="K13" s="34" t="str">
        <x:v>https://www.mbie.govt.nz/science-and-technology/space/connect-with-nzsa</x:v>
      </x:c>
      <x:c r="L13" s="34" t="str"/>
      <x:c r="M13" s="34" t="str">
        <x:v>New Zealand Space Agency, Ministry of Business, Innovation and Employment, PO Box 1473, Wellington 6140, NEW ZEALAND</x:v>
      </x:c>
      <x:c r="N13" s="34" t="str">
        <x:v>Not Contacted</x:v>
      </x:c>
      <x:c r="O13" s="43" t="str"/>
      <x:c r="P13" s="34" t="str"/>
      <x:c r="Q13" s="34" t="str"/>
      <x:c r="R13" s="43" t="str"/>
      <x:c r="S13" s="34" t="str"/>
      <x:c r="T13" s="43" t="str"/>
      <x:c r="U13" s="34" t="str"/>
      <x:c r="V13" s="34" t="str"/>
      <x:c r="W13" s="43" t="str"/>
      <x:c r="X13" s="43" t="str"/>
      <x:c r="Y13" s="34" t="str"/>
      <x:c r="Z13" s="34" t="str"/>
      <x:c r="AA13" s="34" t="str"/>
    </x:row>
    <x:row r="14">
      <x:c r="A14" s="34" t="n">
        <x:v>13</x:v>
      </x:c>
      <x:c r="B14" s="34" t="str">
        <x:v>Tier 3 - Supporting</x:v>
      </x:c>
      <x:c r="C14" s="34" t="str">
        <x:v>Germany / ESA</x:v>
      </x:c>
      <x:c r="D14" s="34" t="str">
        <x:v>ESA Space Debris Office — DISCOS / SDUP</x:v>
      </x:c>
      <x:c r="E14" s="34" t="str">
        <x:v>DISCOS / Space Debris User Portal</x:v>
      </x:c>
      <x:c r="F14" s="34" t="str">
        <x:v>Spacecraft/object metadata / independent orbital context</x:v>
      </x:c>
      <x:c r="G14" s="34" t="str">
        <x:v>Space Debris Office / SDUP Support</x:v>
      </x:c>
      <x:c r="H14" s="34" t="str">
        <x:v>DISCOS and SDUP technical support</x:v>
      </x:c>
      <x:c r="I14" s="34" t="str">
        <x:v>space.debris.support@esa.int</x:v>
      </x:c>
      <x:c r="J14" s="34" t="str"/>
      <x:c r="K14" s="34" t="str">
        <x:v>https://sdup.esoc.esa.int/contact</x:v>
      </x:c>
      <x:c r="L14" s="34" t="str"/>
      <x:c r="M14" s="34" t="str">
        <x:v>Space Debris Office, ESOC, Robert-Bosch-Str. 5, 64293 Darmstadt, GERMANY</x:v>
      </x:c>
      <x:c r="N14" s="34" t="str">
        <x:v>Not Contacted</x:v>
      </x:c>
      <x:c r="O14" s="43" t="str"/>
      <x:c r="P14" s="34" t="str"/>
      <x:c r="Q14" s="34" t="str"/>
      <x:c r="R14" s="43" t="str"/>
      <x:c r="S14" s="34" t="str"/>
      <x:c r="T14" s="43" t="str"/>
      <x:c r="U14" s="34" t="str"/>
      <x:c r="V14" s="34" t="str"/>
      <x:c r="W14" s="43" t="str"/>
      <x:c r="X14" s="43" t="str"/>
      <x:c r="Y14" s="34" t="str"/>
      <x:c r="Z14" s="34" t="str"/>
      <x:c r="AA14" s="34" t="str"/>
    </x:row>
    <x:row r="15">
      <x:c r="A15" t="n">
        <x:v>14</x:v>
      </x:c>
      <x:c r="B15" t="str">
        <x:v>Tier 2 - Secondary</x:v>
      </x:c>
      <x:c r="C15" t="str">
        <x:v>Chile</x:v>
      </x:c>
      <x:c r="D15" t="str">
        <x:v>Universidad Adventista de Chile — Centro de Instrumentación Científica (CINC)</x:v>
      </x:c>
      <x:c r="E15" t="str">
        <x:v>CINC / meteorologiaespacial.cl</x:v>
      </x:c>
      <x:c r="F15" t="str">
        <x:v>Long-running ionosonde / TEC environmental observations; Southern Hemisphere and Antarctic disturbance context. NOT direct network latency/outage evidence.</x:v>
      </x:c>
      <x:c r="G15" t="str">
        <x:v>Dr. Manuel Alejandro Bravo Sepúlveda</x:v>
      </x:c>
      <x:c r="H15" t="str">
        <x:v>Director, Centro de Instrumentación Científica; Dr. en Geofísica Espacial</x:v>
      </x:c>
      <x:c r="I15" t="str">
        <x:v>manuelbravo@unach.cl</x:v>
      </x:c>
      <x:c r="J15" t="str">
        <x:v>+56 968171329</x:v>
      </x:c>
      <x:c r="K15" t="str">
        <x:v>https://investigacion.unach.cl/asociaciones-investigativas/centro-de-instrumentacion-cientifica/</x:v>
      </x:c>
      <x:c r="L15" t="str">
        <x:v>http://www.meteorologiaespacial.cl/</x:v>
      </x:c>
      <x:c r="M15" t="str">
        <x:v>Universidad Adventista de Chile, Chillán, CHILE</x:v>
      </x:c>
      <x:c r="N15" t="str">
        <x:v>Responded 21 Sep 2026 — collaboration offered; numerical .DAT packages delivered and inspected; Readiness 3</x:v>
      </x:c>
      <x:c r="O15" s="44"/>
      <x:c r="P15"/>
      <x:c r="Q15"/>
      <x:c r="R15" s="44"/>
      <x:c r="S15"/>
      <x:c r="T15" s="44"/>
      <x:c r="U15"/>
      <x:c r="V15"/>
      <x:c r="W15" s="44"/>
      <x:c r="X15" s="44"/>
      <x:c r="Y15"/>
      <x:c r="Z15"/>
      <x:c r="AA15"/>
    </x:row>
    <x:row r="16">
      <x:c r="A16" t="n">
        <x:v>15</x:v>
      </x:c>
      <x:c r="B16" t="str">
        <x:v>Tier 2 - Secondary</x:v>
      </x:c>
      <x:c r="C16" t="str">
        <x:v>Argentina / Patagonia</x:v>
      </x:c>
      <x:c r="D16" t="str">
        <x:v>Instituto Balseiro / CNEA — Bariloche</x:v>
      </x:c>
      <x:c r="E16" t="str">
        <x:v>Satellite ground-station / VHF-UHF communications research</x:v>
      </x:c>
      <x:c r="F16" t="str">
        <x:v>Potential direct communications measurements from Patagonia; historical ground-station operations. No current requested dataset available.</x:v>
      </x:c>
      <x:c r="G16" t="str">
        <x:v>Dr. Pablo Costanzo Caso</x:v>
      </x:c>
      <x:c r="H16" t="str">
        <x:v>Researcher / ground-station collaborator</x:v>
      </x:c>
      <x:c r="I16" t="str">
        <x:v>pcostanzo@ib.edu.ar</x:v>
      </x:c>
      <x:c r="J16"/>
      <x:c r="K16"/>
      <x:c r="L16"/>
      <x:c r="M16" t="str">
        <x:v>Bariloche, Río Negro, ARGENTINA</x:v>
      </x:c>
      <x:c r="N16" t="str">
        <x:v>RESPONDED 22 Sep 2026 — requested data unavailable; prior VHF/UHF station dismantled after &gt;3 years due lack of funding; future funded collaboration offered</x:v>
      </x:c>
      <x:c r="O16" s="44"/>
      <x:c r="P16"/>
      <x:c r="Q16"/>
      <x:c r="R16" s="44"/>
      <x:c r="S16"/>
      <x:c r="T16" s="44"/>
      <x:c r="U16"/>
      <x:c r="V16"/>
      <x:c r="W16" s="44"/>
      <x:c r="X16" s="44"/>
      <x:c r="Y16"/>
      <x:c r="Z16"/>
      <x:c r="AA16"/>
    </x:row>
    <x:row r="17">
      <x:c r="A17" t="n">
        <x:v>16</x:v>
      </x:c>
      <x:c r="B17" t="str">
        <x:v>Tier 2 - Secondary</x:v>
      </x:c>
      <x:c r="C17" t="str">
        <x:v>Australia</x:v>
      </x:c>
      <x:c r="D17" t="str">
        <x:v>Australian Competition and Consumer Commission (ACCC)</x:v>
      </x:c>
      <x:c r="E17" t="str">
        <x:v>Measuring Broadband Australia / Broadband Performance Team</x:v>
      </x:c>
      <x:c r="F17" t="str">
        <x:v>Direct broadband / Starlink communications performance; historical validation and DES parameter support</x:v>
      </x:c>
      <x:c r="G17" t="str">
        <x:v>Broadband Performance Team</x:v>
      </x:c>
      <x:c r="H17" t="str">
        <x:v>ACCC Measuring Broadband Australia / broadband performance</x:v>
      </x:c>
      <x:c r="I17" t="str">
        <x:v>BroadbandPerformance@accc.gov.au</x:v>
      </x:c>
      <x:c r="J17"/>
      <x:c r="K17" t="str">
        <x:v>https://www.accc.gov.au/about-us/contact-us-or-report-an-issue</x:v>
      </x:c>
      <x:c r="L17" t="str">
        <x:v>https://data.gov.au/</x:v>
      </x:c>
      <x:c r="M17" t="str">
        <x:v>Australian Competition and Consumer Commission, AUSTRALIA</x:v>
      </x:c>
      <x:c r="N17" t="str">
        <x:v>RESPONDED 23 Sep 2026 — public historical data confirmed on data.gov.au; no research-use conditions beyond appropriate attribution</x:v>
      </x:c>
      <x:c r="O17" s="44"/>
      <x:c r="P17" t="str">
        <x:v>Email / official ACCC response</x:v>
      </x:c>
      <x:c r="Q17"/>
      <x:c r="R17" s="44"/>
      <x:c r="S17" t="str">
        <x:v>Yes — substantive team response</x:v>
      </x:c>
      <x:c r="T17" s="44" t="str">
        <x:v>2026-09-23</x:v>
      </x:c>
      <x:c r="U17" t="str">
        <x:v>Public data use confirmed</x:v>
      </x:c>
      <x:c r="V17" t="str">
        <x:v>Historical public datasets available</x:v>
      </x:c>
      <x:c r="W17" s="44"/>
      <x:c r="X17" s="44"/>
      <x:c r="Y17" t="str">
        <x:v>ACCC confirms a more fulsome public dataset is released via data.gov.au in addition to aggregate report tables. Search 'Measuring Broadband Australia'. Public use has no special conditions; appropriately attribute MBA performance data.</x:v>
      </x:c>
      <x:c r="Z17" t="str">
        <x:v>Broadband Performance Team</x:v>
      </x:c>
      <x:c r="AA17" t="str">
        <x:v>Program concluded June 2026. Treat as finite/static historical COMM source. Provider did not promise raw individualized records or a separate outage-labeled archive in this reply. Next: download and inspect Starlink-containing data.gov.au releases; document granularity, timestamps/cadence, outage semantics, units and attribution.</x:v>
      </x:c>
    </x:row>
    <x:row r="18">
      <x:c r="O18" s="44"/>
      <x:c r="R18" s="44"/>
      <x:c r="T18" s="44"/>
      <x:c r="W18" s="44"/>
      <x:c r="X18" s="44"/>
    </x:row>
    <x:row r="19">
      <x:c r="O19" s="44"/>
      <x:c r="R19" s="44"/>
      <x:c r="T19" s="44"/>
      <x:c r="W19" s="44"/>
      <x:c r="X19" s="44"/>
    </x:row>
    <x:row r="20">
      <x:c r="O20" s="44"/>
      <x:c r="R20" s="44"/>
      <x:c r="T20" s="44"/>
      <x:c r="W20" s="44"/>
      <x:c r="X20" s="44"/>
    </x:row>
    <x:row r="21">
      <x:c r="O21" s="44"/>
      <x:c r="R21" s="44"/>
      <x:c r="T21" s="44"/>
      <x:c r="W21" s="44"/>
      <x:c r="X21" s="44"/>
    </x:row>
    <x:row r="22">
      <x:c r="O22" s="44"/>
      <x:c r="R22" s="44"/>
      <x:c r="T22" s="44"/>
      <x:c r="W22" s="44"/>
      <x:c r="X22" s="44"/>
    </x:row>
    <x:row r="23">
      <x:c r="O23" s="44"/>
      <x:c r="R23" s="44"/>
      <x:c r="T23" s="44"/>
      <x:c r="W23" s="44"/>
      <x:c r="X23" s="44"/>
    </x:row>
    <x:row r="24">
      <x:c r="O24" s="44"/>
      <x:c r="R24" s="44"/>
      <x:c r="T24" s="44"/>
      <x:c r="W24" s="44"/>
      <x:c r="X24" s="44"/>
    </x:row>
    <x:row r="25">
      <x:c r="O25" s="44"/>
      <x:c r="R25" s="44"/>
      <x:c r="T25" s="44"/>
      <x:c r="W25" s="44"/>
      <x:c r="X25" s="44"/>
    </x:row>
    <x:row r="26">
      <x:c r="O26" s="44"/>
      <x:c r="R26" s="44"/>
      <x:c r="T26" s="44"/>
      <x:c r="W26" s="44"/>
      <x:c r="X26" s="44"/>
    </x:row>
    <x:row r="27">
      <x:c r="O27" s="44"/>
      <x:c r="R27" s="44"/>
      <x:c r="T27" s="44"/>
      <x:c r="W27" s="44"/>
      <x:c r="X27" s="44"/>
    </x:row>
    <x:row r="28">
      <x:c r="O28" s="44"/>
      <x:c r="R28" s="44"/>
      <x:c r="T28" s="44"/>
      <x:c r="W28" s="44"/>
      <x:c r="X28" s="44"/>
    </x:row>
    <x:row r="29">
      <x:c r="O29" s="44"/>
      <x:c r="R29" s="44"/>
      <x:c r="T29" s="44"/>
      <x:c r="W29" s="44"/>
      <x:c r="X29" s="44"/>
    </x:row>
    <x:row r="30">
      <x:c r="O30" s="44"/>
      <x:c r="R30" s="44"/>
      <x:c r="T30" s="44"/>
      <x:c r="W30" s="44"/>
      <x:c r="X30" s="44"/>
    </x:row>
    <x:row r="31">
      <x:c r="O31" s="44"/>
      <x:c r="R31" s="44"/>
      <x:c r="T31" s="44"/>
      <x:c r="W31" s="44"/>
      <x:c r="X31" s="44"/>
    </x:row>
    <x:row r="32">
      <x:c r="O32" s="44"/>
      <x:c r="R32" s="44"/>
      <x:c r="T32" s="44"/>
      <x:c r="W32" s="44"/>
      <x:c r="X32" s="44"/>
    </x:row>
    <x:row r="33">
      <x:c r="O33" s="44"/>
      <x:c r="R33" s="44"/>
      <x:c r="T33" s="44"/>
      <x:c r="W33" s="44"/>
      <x:c r="X33" s="44"/>
    </x:row>
    <x:row r="34">
      <x:c r="O34" s="44"/>
      <x:c r="R34" s="44"/>
      <x:c r="T34" s="44"/>
      <x:c r="W34" s="44"/>
      <x:c r="X34" s="44"/>
    </x:row>
    <x:row r="35">
      <x:c r="O35" s="44"/>
      <x:c r="R35" s="44"/>
      <x:c r="T35" s="44"/>
      <x:c r="W35" s="44"/>
      <x:c r="X35" s="44"/>
    </x:row>
    <x:row r="36">
      <x:c r="O36" s="44"/>
      <x:c r="R36" s="44"/>
      <x:c r="T36" s="44"/>
      <x:c r="W36" s="44"/>
      <x:c r="X36" s="44"/>
    </x:row>
    <x:row r="37">
      <x:c r="O37" s="44"/>
      <x:c r="R37" s="44"/>
      <x:c r="T37" s="44"/>
      <x:c r="W37" s="44"/>
      <x:c r="X37" s="44"/>
    </x:row>
    <x:row r="38">
      <x:c r="O38" s="44"/>
      <x:c r="R38" s="44"/>
      <x:c r="T38" s="44"/>
      <x:c r="W38" s="44"/>
      <x:c r="X38" s="44"/>
    </x:row>
    <x:row r="39">
      <x:c r="O39" s="44"/>
      <x:c r="R39" s="44"/>
      <x:c r="T39" s="44"/>
      <x:c r="W39" s="44"/>
      <x:c r="X39" s="44"/>
    </x:row>
    <x:row r="40">
      <x:c r="O40" s="44"/>
      <x:c r="R40" s="44"/>
      <x:c r="T40" s="44"/>
      <x:c r="W40" s="44"/>
      <x:c r="X40" s="44"/>
    </x:row>
    <x:row r="41">
      <x:c r="O41" s="44"/>
      <x:c r="R41" s="44"/>
      <x:c r="T41" s="44"/>
      <x:c r="W41" s="44"/>
      <x:c r="X41" s="44"/>
    </x:row>
    <x:row r="42">
      <x:c r="O42" s="44"/>
      <x:c r="R42" s="44"/>
      <x:c r="T42" s="44"/>
      <x:c r="W42" s="44"/>
      <x:c r="X42" s="44"/>
    </x:row>
    <x:row r="43">
      <x:c r="O43" s="44"/>
      <x:c r="R43" s="44"/>
      <x:c r="T43" s="44"/>
      <x:c r="W43" s="44"/>
      <x:c r="X43" s="44"/>
    </x:row>
    <x:row r="44">
      <x:c r="O44" s="44"/>
      <x:c r="R44" s="44"/>
      <x:c r="T44" s="44"/>
      <x:c r="W44" s="44"/>
      <x:c r="X44" s="44"/>
    </x:row>
    <x:row r="45">
      <x:c r="O45" s="44"/>
      <x:c r="R45" s="44"/>
      <x:c r="T45" s="44"/>
      <x:c r="W45" s="44"/>
      <x:c r="X45" s="44"/>
    </x:row>
    <x:row r="46">
      <x:c r="O46" s="44"/>
      <x:c r="R46" s="44"/>
      <x:c r="T46" s="44"/>
      <x:c r="W46" s="44"/>
      <x:c r="X46" s="44"/>
    </x:row>
    <x:row r="47">
      <x:c r="O47" s="44"/>
      <x:c r="R47" s="44"/>
      <x:c r="T47" s="44"/>
      <x:c r="W47" s="44"/>
      <x:c r="X47" s="44"/>
    </x:row>
    <x:row r="48">
      <x:c r="O48" s="44"/>
      <x:c r="R48" s="44"/>
      <x:c r="T48" s="44"/>
      <x:c r="W48" s="44"/>
      <x:c r="X48" s="44"/>
    </x:row>
    <x:row r="49">
      <x:c r="O49" s="44"/>
      <x:c r="R49" s="44"/>
      <x:c r="T49" s="44"/>
      <x:c r="W49" s="44"/>
      <x:c r="X49" s="44"/>
    </x:row>
    <x:row r="50">
      <x:c r="O50" s="44"/>
      <x:c r="R50" s="44"/>
      <x:c r="T50" s="44"/>
      <x:c r="W50" s="44"/>
      <x:c r="X50" s="44"/>
    </x:row>
    <x:row r="51">
      <x:c r="O51" s="44"/>
      <x:c r="R51" s="44"/>
      <x:c r="T51" s="44"/>
      <x:c r="W51" s="44"/>
      <x:c r="X51" s="44"/>
    </x:row>
    <x:row r="52">
      <x:c r="O52" s="44"/>
      <x:c r="R52" s="44"/>
      <x:c r="T52" s="44"/>
      <x:c r="W52" s="44"/>
      <x:c r="X52" s="44"/>
    </x:row>
    <x:row r="53">
      <x:c r="O53" s="44"/>
      <x:c r="R53" s="44"/>
      <x:c r="T53" s="44"/>
      <x:c r="W53" s="44"/>
      <x:c r="X53" s="44"/>
    </x:row>
    <x:row r="54">
      <x:c r="O54" s="44"/>
      <x:c r="R54" s="44"/>
      <x:c r="T54" s="44"/>
      <x:c r="W54" s="44"/>
      <x:c r="X54" s="44"/>
    </x:row>
    <x:row r="55">
      <x:c r="O55" s="44"/>
      <x:c r="R55" s="44"/>
      <x:c r="T55" s="44"/>
      <x:c r="W55" s="44"/>
      <x:c r="X55" s="44"/>
    </x:row>
    <x:row r="56">
      <x:c r="O56" s="44"/>
      <x:c r="R56" s="44"/>
      <x:c r="T56" s="44"/>
      <x:c r="W56" s="44"/>
      <x:c r="X56" s="44"/>
    </x:row>
    <x:row r="57">
      <x:c r="O57" s="44"/>
      <x:c r="R57" s="44"/>
      <x:c r="T57" s="44"/>
      <x:c r="W57" s="44"/>
      <x:c r="X57" s="44"/>
    </x:row>
    <x:row r="58">
      <x:c r="O58" s="44"/>
      <x:c r="R58" s="44"/>
      <x:c r="T58" s="44"/>
      <x:c r="W58" s="44"/>
      <x:c r="X58" s="44"/>
    </x:row>
    <x:row r="59">
      <x:c r="O59" s="44"/>
      <x:c r="R59" s="44"/>
      <x:c r="T59" s="44"/>
      <x:c r="W59" s="44"/>
      <x:c r="X59" s="44"/>
    </x:row>
    <x:row r="60">
      <x:c r="O60" s="44"/>
      <x:c r="R60" s="44"/>
      <x:c r="T60" s="44"/>
      <x:c r="W60" s="44"/>
      <x:c r="X60" s="44"/>
    </x:row>
    <x:row r="61">
      <x:c r="O61" s="44"/>
      <x:c r="R61" s="44"/>
      <x:c r="T61" s="44"/>
      <x:c r="W61" s="44"/>
      <x:c r="X61" s="44"/>
    </x:row>
    <x:row r="62">
      <x:c r="O62" s="44"/>
      <x:c r="R62" s="44"/>
      <x:c r="T62" s="44"/>
      <x:c r="W62" s="44"/>
      <x:c r="X62" s="44"/>
    </x:row>
    <x:row r="63">
      <x:c r="O63" s="44"/>
      <x:c r="R63" s="44"/>
      <x:c r="T63" s="44"/>
      <x:c r="W63" s="44"/>
      <x:c r="X63" s="44"/>
    </x:row>
    <x:row r="64">
      <x:c r="O64" s="44"/>
      <x:c r="R64" s="44"/>
      <x:c r="T64" s="44"/>
      <x:c r="W64" s="44"/>
      <x:c r="X64" s="44"/>
    </x:row>
    <x:row r="65">
      <x:c r="O65" s="44"/>
      <x:c r="R65" s="44"/>
      <x:c r="T65" s="44"/>
      <x:c r="W65" s="44"/>
      <x:c r="X65" s="44"/>
    </x:row>
    <x:row r="66">
      <x:c r="O66" s="44"/>
      <x:c r="R66" s="44"/>
      <x:c r="T66" s="44"/>
      <x:c r="W66" s="44"/>
      <x:c r="X66" s="44"/>
    </x:row>
    <x:row r="67">
      <x:c r="O67" s="44"/>
      <x:c r="R67" s="44"/>
      <x:c r="T67" s="44"/>
      <x:c r="W67" s="44"/>
      <x:c r="X67" s="44"/>
    </x:row>
    <x:row r="68">
      <x:c r="O68" s="44"/>
      <x:c r="R68" s="44"/>
      <x:c r="T68" s="44"/>
      <x:c r="W68" s="44"/>
      <x:c r="X68" s="44"/>
    </x:row>
    <x:row r="69">
      <x:c r="O69" s="44"/>
      <x:c r="R69" s="44"/>
      <x:c r="T69" s="44"/>
      <x:c r="W69" s="44"/>
      <x:c r="X69" s="44"/>
    </x:row>
    <x:row r="70">
      <x:c r="O70" s="44"/>
      <x:c r="R70" s="44"/>
      <x:c r="T70" s="44"/>
      <x:c r="W70" s="44"/>
      <x:c r="X70" s="44"/>
    </x:row>
    <x:row r="71">
      <x:c r="O71" s="44"/>
      <x:c r="R71" s="44"/>
      <x:c r="T71" s="44"/>
      <x:c r="W71" s="44"/>
      <x:c r="X71" s="44"/>
    </x:row>
    <x:row r="72">
      <x:c r="O72" s="44"/>
      <x:c r="R72" s="44"/>
      <x:c r="T72" s="44"/>
      <x:c r="W72" s="44"/>
      <x:c r="X72" s="44"/>
    </x:row>
    <x:row r="73">
      <x:c r="O73" s="44"/>
      <x:c r="R73" s="44"/>
      <x:c r="T73" s="44"/>
      <x:c r="W73" s="44"/>
      <x:c r="X73" s="44"/>
    </x:row>
    <x:row r="74">
      <x:c r="O74" s="44"/>
      <x:c r="R74" s="44"/>
      <x:c r="T74" s="44"/>
      <x:c r="W74" s="44"/>
      <x:c r="X74" s="44"/>
    </x:row>
    <x:row r="75">
      <x:c r="O75" s="44"/>
      <x:c r="R75" s="44"/>
      <x:c r="T75" s="44"/>
      <x:c r="W75" s="44"/>
      <x:c r="X75" s="44"/>
    </x:row>
    <x:row r="76">
      <x:c r="O76" s="44"/>
      <x:c r="R76" s="44"/>
      <x:c r="T76" s="44"/>
      <x:c r="W76" s="44"/>
      <x:c r="X76" s="44"/>
    </x:row>
    <x:row r="77">
      <x:c r="O77" s="44"/>
      <x:c r="R77" s="44"/>
      <x:c r="T77" s="44"/>
      <x:c r="W77" s="44"/>
      <x:c r="X77" s="44"/>
    </x:row>
    <x:row r="78">
      <x:c r="O78" s="44"/>
      <x:c r="R78" s="44"/>
      <x:c r="T78" s="44"/>
      <x:c r="W78" s="44"/>
      <x:c r="X78" s="44"/>
    </x:row>
    <x:row r="79">
      <x:c r="O79" s="44"/>
      <x:c r="R79" s="44"/>
      <x:c r="T79" s="44"/>
      <x:c r="W79" s="44"/>
      <x:c r="X79" s="44"/>
    </x:row>
    <x:row r="80">
      <x:c r="O80" s="44"/>
      <x:c r="R80" s="44"/>
      <x:c r="T80" s="44"/>
      <x:c r="W80" s="44"/>
      <x:c r="X80" s="44"/>
    </x:row>
    <x:row r="81">
      <x:c r="O81" s="44"/>
      <x:c r="R81" s="44"/>
      <x:c r="T81" s="44"/>
      <x:c r="W81" s="44"/>
      <x:c r="X81" s="44"/>
    </x:row>
    <x:row r="82">
      <x:c r="O82" s="44"/>
      <x:c r="R82" s="44"/>
      <x:c r="T82" s="44"/>
      <x:c r="W82" s="44"/>
      <x:c r="X82" s="44"/>
    </x:row>
    <x:row r="83">
      <x:c r="O83" s="44"/>
      <x:c r="R83" s="44"/>
      <x:c r="T83" s="44"/>
      <x:c r="W83" s="44"/>
      <x:c r="X83" s="44"/>
    </x:row>
    <x:row r="84">
      <x:c r="O84" s="44"/>
      <x:c r="R84" s="44"/>
      <x:c r="T84" s="44"/>
      <x:c r="W84" s="44"/>
      <x:c r="X84" s="44"/>
    </x:row>
    <x:row r="85">
      <x:c r="O85" s="44"/>
      <x:c r="R85" s="44"/>
      <x:c r="T85" s="44"/>
      <x:c r="W85" s="44"/>
      <x:c r="X85" s="44"/>
    </x:row>
    <x:row r="86">
      <x:c r="O86" s="44"/>
      <x:c r="R86" s="44"/>
      <x:c r="T86" s="44"/>
      <x:c r="W86" s="44"/>
      <x:c r="X86" s="44"/>
    </x:row>
    <x:row r="87">
      <x:c r="O87" s="44"/>
      <x:c r="R87" s="44"/>
      <x:c r="T87" s="44"/>
      <x:c r="W87" s="44"/>
      <x:c r="X87" s="44"/>
    </x:row>
    <x:row r="88">
      <x:c r="O88" s="44"/>
      <x:c r="R88" s="44"/>
      <x:c r="T88" s="44"/>
      <x:c r="W88" s="44"/>
      <x:c r="X88" s="44"/>
    </x:row>
    <x:row r="89">
      <x:c r="O89" s="44"/>
      <x:c r="R89" s="44"/>
      <x:c r="T89" s="44"/>
      <x:c r="W89" s="44"/>
      <x:c r="X89" s="44"/>
    </x:row>
    <x:row r="90">
      <x:c r="O90" s="44"/>
      <x:c r="R90" s="44"/>
      <x:c r="T90" s="44"/>
      <x:c r="W90" s="44"/>
      <x:c r="X90" s="44"/>
    </x:row>
    <x:row r="91">
      <x:c r="O91" s="44"/>
      <x:c r="R91" s="44"/>
      <x:c r="T91" s="44"/>
      <x:c r="W91" s="44"/>
      <x:c r="X91" s="44"/>
    </x:row>
    <x:row r="92">
      <x:c r="O92" s="44"/>
      <x:c r="R92" s="44"/>
      <x:c r="T92" s="44"/>
      <x:c r="W92" s="44"/>
      <x:c r="X92" s="44"/>
    </x:row>
    <x:row r="93">
      <x:c r="O93" s="44"/>
      <x:c r="R93" s="44"/>
      <x:c r="T93" s="44"/>
      <x:c r="W93" s="44"/>
      <x:c r="X93" s="44"/>
    </x:row>
    <x:row r="94">
      <x:c r="O94" s="44"/>
      <x:c r="R94" s="44"/>
      <x:c r="T94" s="44"/>
      <x:c r="W94" s="44"/>
      <x:c r="X94" s="44"/>
    </x:row>
    <x:row r="95">
      <x:c r="O95" s="44"/>
      <x:c r="R95" s="44"/>
      <x:c r="T95" s="44"/>
      <x:c r="W95" s="44"/>
      <x:c r="X95" s="44"/>
    </x:row>
    <x:row r="96">
      <x:c r="O96" s="44"/>
      <x:c r="R96" s="44"/>
      <x:c r="T96" s="44"/>
      <x:c r="W96" s="44"/>
      <x:c r="X96" s="44"/>
    </x:row>
    <x:row r="97">
      <x:c r="O97" s="44"/>
      <x:c r="R97" s="44"/>
      <x:c r="T97" s="44"/>
      <x:c r="W97" s="44"/>
      <x:c r="X97" s="44"/>
    </x:row>
    <x:row r="98">
      <x:c r="O98" s="44"/>
      <x:c r="R98" s="44"/>
      <x:c r="T98" s="44"/>
      <x:c r="W98" s="44"/>
      <x:c r="X98" s="44"/>
    </x:row>
    <x:row r="99">
      <x:c r="O99" s="44"/>
      <x:c r="R99" s="44"/>
      <x:c r="T99" s="44"/>
      <x:c r="W99" s="44"/>
      <x:c r="X99" s="44"/>
    </x:row>
    <x:row r="100">
      <x:c r="O100" s="44"/>
      <x:c r="R100" s="44"/>
      <x:c r="T100" s="44"/>
      <x:c r="W100" s="44"/>
      <x:c r="X100" s="44"/>
    </x:row>
  </x:sheetData>
  <x:conditionalFormatting sqref="N2:N100">
    <x:cfRule type="expression" dxfId="0" priority="1">
      <x:formula>N2="Sent"</x:formula>
    </x:cfRule>
    <x:cfRule type="expression" dxfId="1" priority="2">
      <x:formula>N2="Acknowledged"</x:formula>
    </x:cfRule>
    <x:cfRule type="expression" dxfId="2" priority="3">
      <x:formula>N2="In Discussion"</x:formula>
    </x:cfRule>
    <x:cfRule type="expression" dxfId="3" priority="4">
      <x:formula>N2="Data Approved"</x:formula>
    </x:cfRule>
    <x:cfRule type="expression" dxfId="4" priority="5">
      <x:formula>N2="Data Received"</x:formula>
    </x:cfRule>
    <x:cfRule type="expression" dxfId="5" priority="6">
      <x:formula>N2="Closed"</x:formula>
    </x:cfRule>
  </x:conditionalFormatting>
  <x:dataValidations count="5">
    <x:dataValidation type="list" sqref="N2:N100">
      <x:formula1>"Not Contacted,Prepared,Sent,Acknowledged,In Discussion,Data Approved,Data Received,Closed"</x:formula1>
    </x:dataValidation>
    <x:dataValidation type="list" sqref="P2:P100">
      <x:formula1>"Regular Mail,Certified Mail,International Mail,Email,Web Form,Phone,Other"</x:formula1>
    </x:dataValidation>
    <x:dataValidation type="list" sqref="S2:S100">
      <x:formula1>"Y,N"</x:formula1>
    </x:dataValidation>
    <x:dataValidation type="list" sqref="U2:U100">
      <x:formula1>"Y,N"</x:formula1>
    </x:dataValidation>
    <x:dataValidation type="list" sqref="V2:V100">
      <x:formula1>"Y,N"</x:formula1>
    </x:dataValidation>
  </x:dataValidations>
  <x:pageMargins left="0.7" right="0.7" top="0.75" bottom="0.75" header="0.3" footer="0.3"/>
  <x:tableParts count="1">
    <x:tablePart xmlns:r="http://schemas.openxmlformats.org/officeDocument/2006/relationships" r:id="R6be76b1f3a0841a0"/>
  </x:tableParts>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46" hidden="0" customWidth="1"/>
    <x:col min="5" max="5" width="48" hidden="0" customWidth="1"/>
    <x:col min="6" max="6" width="28" hidden="0" customWidth="1"/>
    <x:col min="7" max="7" width="38" hidden="0" customWidth="1"/>
    <x:col min="8" max="8" width="38" hidden="0" customWidth="1"/>
    <x:col min="9" max="9" width="36" hidden="0" customWidth="1"/>
    <x:col min="10" max="10" width="30" hidden="0" customWidth="1"/>
    <x:col min="11" max="11" width="32" hidden="0" customWidth="1"/>
    <x:col min="12" max="12" width="36" hidden="0" customWidth="1"/>
  </x:cols>
  <x:sheetData>
    <x:row r="1" ht="34" customHeight="1">
      <x:c r="A1" s="6" t="str">
        <x:v>Priority</x:v>
      </x:c>
      <x:c r="B1" s="6" t="str">
        <x:v>Priority Tier</x:v>
      </x:c>
      <x:c r="C1" s="6" t="str">
        <x:v>Organization</x:v>
      </x:c>
      <x:c r="D1" s="6" t="str">
        <x:v>Why Prioritized / Unique Value</x:v>
      </x:c>
      <x:c r="E1" s="6" t="str">
        <x:v>Best Request / Ask</x:v>
      </x:c>
      <x:c r="F1" s="6" t="str">
        <x:v>Primary Data Type</x:v>
      </x:c>
      <x:c r="G1" s="6" t="str">
        <x:v>Primary Source URL</x:v>
      </x:c>
      <x:c r="H1" s="6" t="str">
        <x:v>Secondary Source URL</x:v>
      </x:c>
      <x:c r="I1" s="6" t="str">
        <x:v>Potential Validation Role</x:v>
      </x:c>
      <x:c r="J1" s="6" t="str">
        <x:v>Restrictions / License</x:v>
      </x:c>
      <x:c r="K1" s="6" t="str">
        <x:v>Preferred Citation / Acknowledgment</x:v>
      </x:c>
      <x:c r="L1" s="6" t="str">
        <x:v>Technical Notes</x:v>
      </x:c>
    </x:row>
    <x:row r="2">
      <x:c r="A2" s="38" t="n">
        <x:v>1</x:v>
      </x:c>
      <x:c r="B2" s="38" t="str">
        <x:v>Tier 1 - Primary</x:v>
      </x:c>
      <x:c r="C2" s="38" t="str">
        <x:v>NICT — World Data Center for Ionosphere &amp; Space Weather</x:v>
      </x:c>
      <x:c r="D2" s="38" t="str">
        <x:v>Named NICT researcher engaged; primary scope is ground-based ionospheric observations. Specific product and historical coverage still to define.</x:v>
      </x:c>
      <x:c r="E2" s="38" t="str">
        <x:v>Specify ionosonde measurements, TEC data or other selected ionospheric parameters, requested period and sampling needs. Ask for a small public sample, metadata and usage terms. Request a separate communications-group referral for direct latency/availability/queue records.</x:v>
      </x:c>
      <x:c r="F2" s="38" t="str">
        <x:v>Ionospheric observations / environmental inputs; direct network measurements unconfirmed</x:v>
      </x:c>
      <x:c r="G2" s="38" t="str">
        <x:v>https://wdc.nict.go.jp/wdc-top/contact.html</x:v>
      </x:c>
      <x:c r="H2" s="38" t="str">
        <x:v>https://swc.nict.go.jp/en/</x:v>
      </x:c>
      <x:c r="I2" s="38" t="str">
        <x:v>Candidate environmental scenario context; no direct network calibration or validation claim. Mapping environmental conditions to network effects requires justification.</x:v>
      </x:c>
      <x:c r="J2" s="38" t="str">
        <x:v>Not provided in reply; confirm public availability and product-specific terms.</x:v>
      </x:c>
      <x:c r="K2" s="38" t="str">
        <x:v>Preferred citation not supplied; request when selecting the product.</x:v>
      </x:c>
      <x:c r="L2" s="38" t="str">
        <x:v>Dr. Septi Perwitasari reviewed the presentation and requested a specific ionosonde/TEC/other-parameter request; offered to direct Carlo after clarification. No dataset links/files supplied. User screenshots 1000717532.jpg, 1000717533.jpg, 1000717534.jpg; received date reported by Carlo: 14 Sep 2026. Thread: [iono 573].</x:v>
      </x:c>
    </x:row>
    <x:row r="3">
      <x:c r="A3" s="18" t="n">
        <x:v>2</x:v>
      </x:c>
      <x:c r="B3" s="18" t="str">
        <x:v>Tier 1 - Primary</x:v>
      </x:c>
      <x:c r="C3" s="18" t="str">
        <x:v>University of Victoria — Starlink@PanLab / LENS</x:v>
      </x:c>
      <x:c r="D3" s="18" t="str">
        <x:v>Most direct international match to the latency side of the Praxis; LENS and Starlink@PanLab provide measured LEO-network behavior rather than proxy variables.</x:v>
      </x:c>
      <x:c r="E3" s="18" t="str">
        <x:v>Request LENS measurement definitions, available historical traces, RTT/one-way-delay treatment, PoP/handover interpretation, benchmark ranges, and acknowledgment permission.</x:v>
      </x:c>
      <x:c r="F3" s="18" t="str">
        <x:v>LEO latency / performance</x:v>
      </x:c>
      <x:c r="G3" s="18" t="str">
        <x:v>https://onlineacademiccommunity.uvic.ca/starlink/</x:v>
      </x:c>
      <x:c r="H3" s="18" t="str"/>
      <x:c r="I3" s="18" t="str">
        <x:v>Primary latency calibration / benchmark source</x:v>
      </x:c>
      <x:c r="J3" s="18" t="str">
        <x:v>Pending clarification; no dataset/file transfer yet.</x:v>
      </x:c>
      <x:c r="K3" s="18" t="str">
        <x:v>Use UVic/LENS citation and acknowledgment guidance once the exact dataset is identified.</x:v>
      </x:c>
      <x:c r="L3" s="18" t="str">
        <x:v>Prof. Jianping Pan replied Sep 12, 2026 confirming receipt but asking what exactly was needed. Clarification sent Sep 13 requesting timestamped RTT/one-way latency, packet/data loss, throughput, interruptions/non-response, handover/path changes, PoP/gateway context, terminal/SNR/obstruction telemetry, cadence/timestamps, and outage-vs-missing metadata. Awaiting response.</x:v>
      </x:c>
    </x:row>
    <x:row r="4">
      <x:c r="A4" s="18" t="n">
        <x:v>3</x:v>
      </x:c>
      <x:c r="B4" s="18" t="str">
        <x:v>Tier 1 - Primary</x:v>
      </x:c>
      <x:c r="C4" s="18" t="str">
        <x:v>WetLinks — Osnabrück University / University of Twente</x:v>
      </x:c>
      <x:c r="D4" s="18" t="str">
        <x:v>Combines Starlink performance with colocated weather observations, allowing direct study of RTT, packet loss, throughput, traceroute, and environmental context.</x:v>
      </x:c>
      <x:c r="E4" s="18" t="str">
        <x:v>Ask about timestamp synchronization, weather/network joins, missing-data treatment, filtering, validation limitations, and updated datasets.</x:v>
      </x:c>
      <x:c r="F4" s="18" t="str">
        <x:v>LEO performance + weather</x:v>
      </x:c>
      <x:c r="G4" s="18" t="str">
        <x:v>https://arxiv.org/abs/2402.16448</x:v>
      </x:c>
      <x:c r="H4" s="18" t="str">
        <x:v>https://www.uni-osnabrueck.de/fb6/informatik/sys/team/laniewski</x:v>
      </x:c>
      <x:c r="I4" s="18" t="str">
        <x:v>Latency/environment calibration and matched-condition validation</x:v>
      </x:c>
      <x:c r="J4" s="18" t="str">
        <x:v>Public data/code provided as-is; no extended technical support.</x:v>
      </x:c>
      <x:c r="K4" s="18" t="str">
        <x:v>Cite the repository/dataset/paper according to the DOI and repository documentation.</x:v>
      </x:c>
      <x:c r="L4" s="18" t="str">
        <x:v>Osnabrück response from Prof. Dr. Nils Aschenbruck dated Aug. 25, 2026 supplied the WetLinks package and public data references. Resources: https://github.com/sys-uos ; dataset DOI https://doi.org/10.26249/FK2/YXPS4G ; paper DOI https://doi.org/10.1145/3789240.3827586 . This satisfies the current Germany/Netherlands WetLinks request; no separate Twente follow-up is needed unless a later analysis raises a Twente-specific methodological question.</x:v>
      </x:c>
    </x:row>
    <x:row r="5">
      <x:c r="A5" s="18" t="n">
        <x:v>4</x:v>
      </x:c>
      <x:c r="B5" s="18" t="str">
        <x:v>Tier 1 - Primary</x:v>
      </x:c>
      <x:c r="C5" s="18" t="str">
        <x:v>RIPE NCC — RIPE Atlas</x:v>
      </x:c>
      <x:c r="D5" s="18" t="str">
        <x:v>Potential source of independent or original active measurements through ping and traceroute rather than relying only on published datasets.</x:v>
      </x:c>
      <x:c r="E5" s="18" t="str">
        <x:v>Ask how to identify Starlink/LEO-connected probes, construct a defensible measurement campaign, obtain measurement credits, document probe bias, and archive results.</x:v>
      </x:c>
      <x:c r="F5" s="18" t="str">
        <x:v>Active network measurements</x:v>
      </x:c>
      <x:c r="G5" s="18" t="str">
        <x:v>https://atlas.ripe.net/</x:v>
      </x:c>
      <x:c r="H5" s="18" t="str">
        <x:v>https://www.ripe.net/about-us/support/contact/contact-us/</x:v>
      </x:c>
      <x:c r="I5" s="18" t="str">
        <x:v>Independent measurement / external validation</x:v>
      </x:c>
      <x:c r="J5" s="18" t="str"/>
      <x:c r="K5" s="18" t="str"/>
      <x:c r="L5" s="18" t="str"/>
    </x:row>
    <x:row r="6">
      <x:c r="A6" s="18" t="n">
        <x:v>5</x:v>
      </x:c>
      <x:c r="B6" s="18" t="str">
        <x:v>Tier 1 - Primary</x:v>
      </x:c>
      <x:c r="C6" s="18" t="str">
        <x:v>University of Otago — Solar Tsunamis / MANA Network</x:v>
      </x:c>
      <x:c r="D6" s="18" t="str">
        <x:v>Formal scientific-data-access pathway and valuable Southern Hemisphere geomagnetic observations for independent environmental-stress characterization.</x:v>
      </x:c>
      <x:c r="E6" s="18" t="str">
        <x:v>Request magnetic-field observations for selected events, recommended stations/time resolution, quality control, Rules of the Road, and citation requirements.</x:v>
      </x:c>
      <x:c r="F6" s="18" t="str">
        <x:v>Geomagnetic observations</x:v>
      </x:c>
      <x:c r="G6" s="18" t="str">
        <x:v>https://solartsunamis.otago.ac.nz/mana/mana-data/</x:v>
      </x:c>
      <x:c r="H6" s="18" t="str">
        <x:v>https://solartsunamis.otago.ac.nz/mana/mana-contacts/</x:v>
      </x:c>
      <x:c r="I6" s="18" t="str">
        <x:v>Southern Hemisphere environmental cross-validation</x:v>
      </x:c>
      <x:c r="J6" s="18" t="str"/>
      <x:c r="K6" s="18" t="str"/>
      <x:c r="L6" s="18" t="str"/>
    </x:row>
    <x:row r="7">
      <x:c r="A7" s="18" t="n">
        <x:v>6</x:v>
      </x:c>
      <x:c r="B7" s="18" t="str">
        <x:v>Tier 1 - Primary</x:v>
      </x:c>
      <x:c r="C7" s="18" t="str">
        <x:v>Earth Sciences New Zealand — Geomagnetism Project</x:v>
      </x:c>
      <x:c r="D7" s="18" t="str">
        <x:v>National geomagnetic-observatory expertise including INTERMAGNET and Scott Base context; strong independent comparison against NOAA/NICT/Otago.</x:v>
      </x:c>
      <x:c r="E7" s="18" t="str">
        <x:v>Request guidance on Eyrewell/Scott Base observations, sampling interval, definitive vs preliminary records, quality flags, and scientific-use expectations.</x:v>
      </x:c>
      <x:c r="F7" s="18" t="str">
        <x:v>Geomagnetic observatory data</x:v>
      </x:c>
      <x:c r="G7" s="18" t="str">
        <x:v>https://www.gns.cri.nz/about-us/staff-search/tanja-petersen/</x:v>
      </x:c>
      <x:c r="H7" s="18" t="str"/>
      <x:c r="I7" s="18" t="str">
        <x:v>Independent geomagnetic V&amp;V and station selection</x:v>
      </x:c>
      <x:c r="J7" s="18" t="str"/>
      <x:c r="K7" s="18" t="str"/>
      <x:c r="L7" s="18" t="str"/>
    </x:row>
    <x:row r="8" ht="144" customHeight="1">
      <x:c r="A8" s="26" t="n">
        <x:v>7</x:v>
      </x:c>
      <x:c r="B8" s="26" t="str">
        <x:v>Tier 2 - Secondary</x:v>
      </x:c>
      <x:c r="C8" s="26" t="str">
        <x:v>Australian Space Weather Forecasting Centre — Bureau of Meteorology</x:v>
      </x:c>
      <x:c r="D8" s="26" t="str">
        <x:v>Substantive provider guidance for Australian shortwave fadeouts, ionospheric observations and regional K-index products; includes separate external flare/Kp references.</x:v>
      </x:c>
      <x:c r="E8" s="26" t="str">
        <x:v>Confirm interest in Australian regional K-index observations. Inspect HF/ionospheric archives and API definitions, cadence, quality flags and event timing before selecting files.</x:v>
      </x:c>
      <x:c r="F8" s="26" t="str">
        <x:v>Environmental observations, alert archives, daily reports and API references</x:v>
      </x:c>
      <x:c r="G8" s="26" t="str">
        <x:v>https://listserver.ips.gov.au/pipermail/ips-swf-alert/</x:v>
      </x:c>
      <x:c r="H8" s="26" t="str">
        <x:v>https://www.sws.bom.gov.au/World_Data_Centre/1/3</x:v>
      </x:c>
      <x:c r="I8" s="26" t="str">
        <x:v>Proposed: use environmental/alert records to inform disruption scenarios. Relationship to modeled satellite-link effects requires separate justification.</x:v>
      </x:c>
      <x:c r="J8" s="26" t="str">
        <x:v>Links supplied; reuse/licensing terms not independently reviewed. The email is not a blanket license or a dataset transfer.</x:v>
      </x:c>
      <x:c r="K8" s="26" t="str">
        <x:v>Cassie: cite Australian Space Weather Forecasting Centre or Bureau of Meteorology for Bureau material. X-ray flux is not Bureau-owned: cite the actual source.</x:v>
      </x:c>
      <x:c r="L8" s="26" t="str">
        <x:v>Regional K&gt;=5 alert archive differs from general regional K records and planetary Kp. foF2 is named; field definitions/cadence remain to inspect. No direct RTT, packet-loss, throughput or queue-delay data identified.</x:v>
      </x:c>
    </x:row>
    <x:row r="9">
      <x:c r="A9" s="26" t="n">
        <x:v>8</x:v>
      </x:c>
      <x:c r="B9" s="26" t="str">
        <x:v>Tier 2 - Secondary</x:v>
      </x:c>
      <x:c r="C9" s="26" t="str">
        <x:v>UK Met Office — Space Weather Operations Centre (MOSWOC)</x:v>
      </x:c>
      <x:c r="D9" s="26" t="str">
        <x:v>Independent national operational interpretation of flares, radio blackouts, CMEs, and geomagnetic storms; useful comparison against NOAA classifications.</x:v>
      </x:c>
      <x:c r="E9" s="26" t="str">
        <x:v>Request appropriate historical products, archive access, and methodological guidance for retrospective communications studies.</x:v>
      </x:c>
      <x:c r="F9" s="26" t="str">
        <x:v>Operational space weather</x:v>
      </x:c>
      <x:c r="G9" s="26" t="str">
        <x:v>https://weather.metoffice.gov.uk/learn-about/space-weather/met-office-role</x:v>
      </x:c>
      <x:c r="H9" s="26" t="str">
        <x:v>https://www.metoffice.gov.uk/about-us/contact</x:v>
      </x:c>
      <x:c r="I9" s="26" t="str">
        <x:v>Independent interpretation / model assumption validation</x:v>
      </x:c>
      <x:c r="J9" s="26" t="str"/>
      <x:c r="K9" s="26" t="str"/>
      <x:c r="L9" s="26" t="str"/>
    </x:row>
    <x:row r="10">
      <x:c r="A10" s="26" t="n">
        <x:v>9</x:v>
      </x:c>
      <x:c r="B10" s="26" t="str">
        <x:v>Tier 2 - Secondary</x:v>
      </x:c>
      <x:c r="C10" s="26" t="str">
        <x:v>SANSA — Space Weather Centre</x:v>
      </x:c>
      <x:c r="D10" s="26" t="str">
        <x:v>Confirmed public Southern African geomagnetic-data route; separate environmental-source family alongside Australian ASWFC products.</x:v>
      </x:c>
      <x:c r="E10" s="26" t="str">
        <x:v>Inspect public geomagnetic products. Identify the dataset/station and date range needed; contact Kate if historical records cannot be located. Do not repeat the direct network-performance request to SANSA.</x:v>
      </x:c>
      <x:c r="F10" s="26" t="str">
        <x:v>Geomagnetic / environmental observations; direct satellite-link performance excluded from SANSA public-data scope</x:v>
      </x:c>
      <x:c r="G10" s="26" t="str">
        <x:v>https://spaceweather.sansa.org.za/products-and-services/current-conditions/geomagnetic-data</x:v>
      </x:c>
      <x:c r="H10" s="26" t="str">
        <x:v>https://mail.google.com/mail/#all/1a09f75205d0f3f4</x:v>
      </x:c>
      <x:c r="I10" s="26" t="str">
        <x:v>Candidate environmental characterization and scenario context. No direct latency/uptime calibration or validation claim; method of linking environment to network effects remains to justify.</x:v>
      </x:c>
      <x:c r="J10" s="26" t="str">
        <x:v>Kate: scientific/research use free; commercial use subject to SANSA tariffs and conditions. This is not a blanket redistribution or commercial-use authorization.</x:v>
      </x:c>
      <x:c r="K10" s="26" t="str">
        <x:v>Data from the Hermanus (HER) Magnetic Observatory is made available through the South African National Space Agency (SANSA).</x:v>
      </x:c>
      <x:c r="L10" s="26" t="str">
        <x:v>14 Sep: Kate confirmed no publicly available direct satellite-link latency, packet-loss or service-availability datasets. Historical support depends on a specified dataset and date range. Exact files, cadence, units, quality flags and coverage remain uninspected. See SANSA Update 14 Sep.</x:v>
      </x:c>
    </x:row>
    <x:row r="11">
      <x:c r="A11" s="26" t="n">
        <x:v>10</x:v>
      </x:c>
      <x:c r="B11" s="26" t="str">
        <x:v>Tier 2 - Secondary</x:v>
      </x:c>
      <x:c r="C11" s="26" t="str">
        <x:v>ESA — Space Weather Service Network</x:v>
      </x:c>
      <x:c r="D11" s="26" t="str">
        <x:v>Broad European space-weather service network with archive, API, and product-selection support; strongest as an independent V&amp;V source rather than primary raw data.</x:v>
      </x:c>
      <x:c r="E11" s="26" t="str">
        <x:v>Ask which solar, ionospheric, and geomagnetic products best fit a satellite communications degradation model and how to obtain/cite historical data.</x:v>
      </x:c>
      <x:c r="F11" s="26" t="str">
        <x:v>European space-weather products</x:v>
      </x:c>
      <x:c r="G11" s="26" t="str">
        <x:v>https://swe.ssa.esa.int/contact</x:v>
      </x:c>
      <x:c r="H11" s="26" t="str"/>
      <x:c r="I11" s="26" t="str">
        <x:v>Independent product selection / V&amp;V</x:v>
      </x:c>
      <x:c r="J11" s="26" t="str"/>
      <x:c r="K11" s="26" t="str"/>
      <x:c r="L11" s="26" t="str"/>
    </x:row>
    <x:row r="12">
      <x:c r="A12" s="34" t="n">
        <x:v>11</x:v>
      </x:c>
      <x:c r="B12" s="34" t="str">
        <x:v>Tier 3 - Supporting</x:v>
      </x:c>
      <x:c r="C12" s="34" t="str">
        <x:v>EUMETSAT — User Service Helpdesk</x:v>
      </x:c>
      <x:c r="D12" s="34" t="str">
        <x:v>Useful for atmospheric and precipitation conditions near a notional ground station, but more indirect than latency or ionospheric sources.</x:v>
      </x:c>
      <x:c r="E12" s="34" t="str">
        <x:v>Ask which precipitation/cloud/atmospheric products are defensible for modeling ground-station environmental availability and how to retrieve historical subsets.</x:v>
      </x:c>
      <x:c r="F12" s="34" t="str">
        <x:v>Meteorology / ground weather</x:v>
      </x:c>
      <x:c r="G12" s="34" t="str">
        <x:v>https://www.eumetsat.int/contact-eumetsat</x:v>
      </x:c>
      <x:c r="H12" s="34" t="str">
        <x:v>https://user.eumetsat.int/</x:v>
      </x:c>
      <x:c r="I12" s="34" t="str">
        <x:v>Ground-station availability assumptions</x:v>
      </x:c>
      <x:c r="J12" s="34" t="str"/>
      <x:c r="K12" s="34" t="str"/>
      <x:c r="L12" s="34" t="str"/>
    </x:row>
    <x:row r="13">
      <x:c r="A13" s="34" t="n">
        <x:v>12</x:v>
      </x:c>
      <x:c r="B13" s="34" t="str">
        <x:v>Tier 3 - Supporting</x:v>
      </x:c>
      <x:c r="C13" s="34" t="str">
        <x:v>New Zealand Space Agency</x:v>
      </x:c>
      <x:c r="D13" s="34" t="str">
        <x:v>Primarily an ecosystem and referral source rather than a direct scientific dataset; may identify NZ infrastructure or researchers not yet known.</x:v>
      </x:c>
      <x:c r="E13" s="34" t="str">
        <x:v>Ask for referrals to publicly releasable datasets or researchers concerning ground-station availability, satellite communications, and resilient space infrastructure.</x:v>
      </x:c>
      <x:c r="F13" s="34" t="str">
        <x:v>Referral / ecosystem</x:v>
      </x:c>
      <x:c r="G13" s="34" t="str">
        <x:v>https://www.mbie.govt.nz/science-and-technology/space/connect-with-nzsa</x:v>
      </x:c>
      <x:c r="H13" s="34" t="str"/>
      <x:c r="I13" s="34" t="str">
        <x:v>Referral / source discovery</x:v>
      </x:c>
      <x:c r="J13" s="34" t="str"/>
      <x:c r="K13" s="34" t="str"/>
      <x:c r="L13" s="34" t="str"/>
    </x:row>
    <x:row r="14">
      <x:c r="A14" s="34" t="n">
        <x:v>13</x:v>
      </x:c>
      <x:c r="B14" s="34" t="str">
        <x:v>Tier 3 - Supporting</x:v>
      </x:c>
      <x:c r="C14" s="34" t="str">
        <x:v>ESA Space Debris Office — DISCOS / SDUP</x:v>
      </x:c>
      <x:c r="D14" s="34" t="str">
        <x:v>Potential independent European orbital-object metadata, but lower marginal value because CelesTrak already covers the core orbital inputs.</x:v>
      </x:c>
      <x:c r="E14" s="34" t="str">
        <x:v>Ask about appropriate public DISCOS metadata, API/data-use limitations, and citation requirements if an independent European orbital-object source is needed.</x:v>
      </x:c>
      <x:c r="F14" s="34" t="str">
        <x:v>Orbital metadata</x:v>
      </x:c>
      <x:c r="G14" s="34" t="str">
        <x:v>https://sdup.esoc.esa.int/contact</x:v>
      </x:c>
      <x:c r="H14" s="34" t="str"/>
      <x:c r="I14" s="34" t="str">
        <x:v>Independent orbital context</x:v>
      </x:c>
      <x:c r="J14" s="34" t="str"/>
      <x:c r="K14" s="34" t="str"/>
      <x:c r="L14" s="34" t="str"/>
    </x:row>
  </x:sheetData>
  <x:pageMargins left="0.7" right="0.7" top="0.75" bottom="0.75" header="0.3" footer="0.3"/>
  <x:tableParts count="1">
    <x:tablePart xmlns:r="http://schemas.openxmlformats.org/officeDocument/2006/relationships" r:id="R8d3c0b2fb3e44cc7"/>
  </x:tableParts>
</x:worksheet>
</file>

<file path=xl/worksheets/sheet4.xml><?xml version="1.0" encoding="utf-8"?>
<x:worksheet xmlns:x="http://schemas.openxmlformats.org/spreadsheetml/2006/main">
  <x:sheetFormatPr defaultRowHeight="15"/>
  <x:cols>
    <x:col min="1" max="1" width="14" hidden="0" customWidth="1"/>
    <x:col min="2" max="2" width="30" hidden="0" customWidth="1"/>
    <x:col min="3" max="3" width="32" hidden="0" customWidth="1"/>
    <x:col min="4" max="4" width="42" hidden="0" customWidth="1"/>
    <x:col min="5" max="5" width="18" hidden="0" customWidth="1"/>
    <x:col min="6" max="6" width="72" hidden="0" customWidth="1"/>
  </x:cols>
  <x:sheetData>
    <x:row r="1">
      <x:c r="A1" s="95" t="str">
        <x:v>GWU Email Follow-Ups — First International Research Data Wave</x:v>
      </x:c>
      <x:c r="B1" s="95"/>
      <x:c r="C1" s="95"/>
      <x:c r="D1" s="95"/>
      <x:c r="E1" s="95"/>
      <x:c r="F1" s="95"/>
    </x:row>
    <x:row r="2">
      <x:c r="A2" s="97" t="str">
        <x:v>Prepared September 13, 2026 • for first-wave countries with no documented reply</x:v>
      </x:c>
      <x:c r="B2" s="97"/>
      <x:c r="C2" s="97"/>
      <x:c r="D2" s="97"/>
      <x:c r="E2" s="97"/>
      <x:c r="F2" s="97"/>
    </x:row>
    <x:row r="4">
      <x:c r="A4" s="99" t="str">
        <x:v>Country</x:v>
      </x:c>
      <x:c r="B4" s="99" t="str">
        <x:v>To</x:v>
      </x:c>
      <x:c r="C4" s="99" t="str">
        <x:v>Organization / POC</x:v>
      </x:c>
      <x:c r="D4" s="99" t="str">
        <x:v>Subject</x:v>
      </x:c>
      <x:c r="E4" s="99" t="str">
        <x:v>Status</x:v>
      </x:c>
      <x:c r="F4" s="99" t="str">
        <x:v>Email Text / Draft</x:v>
      </x:c>
    </x:row>
    <x:row r="5">
      <x:c r="A5" s="93" t="str">
        <x:v>Japan</x:v>
      </x:c>
      <x:c r="B5" s="93" t="str">
        <x:v>iono@ml.nict.go.jp</x:v>
      </x:c>
      <x:c r="C5" s="93" t="str">
        <x:v>NICT — World Data Center for Ionosphere &amp; Space Weather</x:v>
      </x:c>
      <x:c r="D5" s="93" t="str">
        <x:v>Follow-up: GWU Doctoral Research Data Request — Ionospheric and Space-Weather Data</x:v>
      </x:c>
      <x:c r="E5" s="93" t="str">
        <x:v>SENT — GWU EMAIL 13 SEP 2026</x:v>
      </x:c>
      <x:c r="F5" s="93" t="str">
        <x:v>SENT 13 SEP FROM NAC; NICT researcher replied 14 Sep; specific clarification not yet shown sent.</x:v>
      </x:c>
    </x:row>
    <x:row r="6">
      <x:c r="A6" s="93" t="str">
        <x:v>Netherlands</x:v>
      </x:c>
      <x:c r="B6" s="93" t="str">
        <x:v>r.m.vanrijswijk@utwente.nl</x:v>
      </x:c>
      <x:c r="C6" s="93" t="str">
        <x:v>University of Twente — Prof. Roland van Rijswijk-Deij / WetLinks</x:v>
      </x:c>
      <x:c r="D6" s="93" t="str">
        <x:v>Follow-up: GWU Doctoral Research Request — WetLinks / Starlink Measurement Methodology</x:v>
      </x:c>
      <x:c r="E6" s="93" t="str">
        <x:v>NOT REQUIRED — WETLINKS PACKAGE RECEIVED</x:v>
      </x:c>
      <x:c r="F6" s="93" t="str">
        <x:v>Dear Prof. van Rijswijk-Deij,
I am following up on a doctoral research letter I mailed on August 17, 2026 concerning the WetLinks/Starlink measurement work.
I am a Doctor of Engineering candidate in Engineering Management and Systems Engineering at The George Washington University. My research is examining degraded communications, latency, availability, outage/recovery behavior, and decision-support performance in distributed satellite/ground architectures.
Prof. Nils Aschenbruck at Osnabrück University has kindly provided the public repository and recent dataset references. I am following up with you specifically for the University of Twente perspective on the measurement methodology and interpretation. I would be grateful for any guidance you can provide on:
• timestamp synchronization between network and environmental measurements;
• joining or aligning weather and network traces;
• treatment of missing data versus true outages/non-response;
• RTT, packet-loss, throughput, traceroute, PoP/gateway, or handover interpretation;
• known sampling or measurement biases; and
• validation limitations that should be acknowledged in academic modeling.
I am using only publicly releasable material and do not need individualized technical support; even a pointer to the appropriate paper, repository documentation, or methodological notes would be valuable.
Thank you for your time and for the research your team has made publicly available.
Respectfully,
Carlo Antonio Nino
Doctor of Engineering Candidate
Engineering Management and Systems Engineering
The George Washington University</x:v>
      </x:c>
    </x:row>
    <x:row r="7">
      <x:c r="A7" s="93" t="str">
        <x:v>Australia</x:v>
      </x:c>
      <x:c r="B7" s="93" t="str">
        <x:v>ASWFC@bom.gov.au; space@bom.gov.au</x:v>
      </x:c>
      <x:c r="C7" s="93" t="str">
        <x:v>Australian Space Weather Forecasting Centre — Bureau of Meteorology</x:v>
      </x:c>
      <x:c r="D7" s="93" t="str">
        <x:v>Follow-up: GWU Doctoral Research Data Request — Historical Space-Weather / HF-Fadeout Data</x:v>
      </x:c>
      <x:c r="E7" s="136" t="str">
        <x:v>SENT 13 SEP 2026; SUBSTANTIVE REPLY RECEIVED — Cassie Marshall / ASWFC</x:v>
      </x:c>
      <x:c r="F7" s="93" t="str">
        <x:v>Dear Australian Space Weather Forecasting Centre Team,
I am following up on a doctoral research data-request letter I mailed on August 17, 2026 to the Bureau of Meteorology’s Australian Space Weather Forecasting Centre.
I am a Doctor of Engineering candidate in Engineering Management and Systems Engineering at The George Washington University. My Praxis examines degraded communications, latency, availability, outage/recovery behavior, and decision support in distributed satellite/ground architectures.
I am seeking publicly releasable historical data or archive guidance that could support retrospective modeling of communications-relevant environmental stress, particularly:
• solar X-ray flare records and event classifications;
• HF fadeout / radio-blackout products;
• regional K-index, geomagnetic, or ionospheric observations;
• recommended variables for representing communications degradation;
• archive/API access, sampling cadence, and quality flags; and
• citation or acknowledgment requirements for academic use.
I am not requesting restricted operational information. If the relevant material is already publicly available, links to the recommended products and any methodological guidance would be greatly appreciated.
Thank you for your consideration.
Respectfully,
Carlo Antonio Nino
Doctor of Engineering Candidate
Engineering Management and Systems Engineering
The George Washington University</x:v>
      </x:c>
    </x:row>
    <x:row r="8">
      <x:c r="A8" s="93" t="str">
        <x:v>South Africa</x:v>
      </x:c>
      <x:c r="B8" s="93" t="str">
        <x:v>spaceweather@sansa.org.za; spacesci-info@sansa.org.za</x:v>
      </x:c>
      <x:c r="C8" s="93" t="str">
        <x:v>SANSA — Space Weather Centre</x:v>
      </x:c>
      <x:c r="D8" s="93" t="str">
        <x:v>Follow-up: GWU Doctoral Research Data Request — Regional Space Weather and HF Propagation</x:v>
      </x:c>
      <x:c r="E8" s="93" t="str">
        <x:v>SENT 13 SEP 2026 — initial general email; automatic referral received; direct RFI subsequently sent at 15:30 Pacific</x:v>
      </x:c>
      <x:c r="F8" s="93" t="str">
        <x:v>Dear SANSA Space Weather Centre Team,
I am following up on a doctoral research data-request letter I mailed on August 17, 2026 to the South African National Space Agency.
I am a Doctor of Engineering candidate in Engineering Management and Systems Engineering at The George Washington University. My Praxis examines degraded communications, latency, availability, outage/recovery behavior, and decision support in distributed satellite/ground architectures.
I am particularly interested in publicly releasable Southern African observations that could provide geographic diversity for communications-degradation modeling and validation. I would appreciate guidance on available historical sources for:
• geomagnetic disturbance or regional K-index observations;
• ionospheric conditions relevant to HF propagation;
• HF fadeout or communications-impact records;
• sampling cadence, quality-control flags, and missing-data treatment;
• recommended variables for retrospective analysis; and
• citation or acknowledgment requirements.
I am not requesting any restricted information. If suitable records are already available through a public archive, a link and brief recommendation on the most appropriate products would be very helpful.
Thank you for your time and assistance.
Respectfully,
Carlo Antonio Nino
Doctor of Engineering Candidate
Engineering Management and Systems Engineering
The George Washington University</x:v>
      </x:c>
    </x:row>
    <x:row r="9" ht="245" customHeight="1">
      <x:c r="A9" s="93" t="str">
        <x:v>South Africa</x:v>
      </x:c>
      <x:c r="B9" s="93" t="str">
        <x:v>To: mtshisaphungo@sansa.org.za
Cc: spaceweather@sansa.org.za</x:v>
      </x:c>
      <x:c r="C9" s="93" t="str">
        <x:v>SANSA — Dr Mpho Tshisaphungo</x:v>
      </x:c>
      <x:c r="D9" s="93" t="str">
        <x:v>Follow-up: GWU Doctoral Research Data Request — Regional Space Weather and HF Propagation</x:v>
      </x:c>
      <x:c r="E9" s="93" t="str">
        <x:v>SENT — 13 SEP 2026, 15:30:15 PACIFIC; substantive reply pending</x:v>
      </x:c>
      <x:c r="F9" s="93" t="str">
        <x:v>Updated RFI verified in Gmail Sent. References Aug 17 mailed package and Sep 13 email; methodology slides attached. Requests measured communications impacts (availability, latency, interruptions, packet loss), environmental/HF event records, recovery, timestamps/cadence, quality flags and reuse/citation requirements. States DES outputs: uptime, downtime, latency and queueing delay. Full sent text and field-coverage record: SANSA RFI Sent 13 Sep. Evidence: https://mail.google.com/mail/#all/1a09ce483fb1c84d</x:v>
      </x:c>
    </x:row>
  </x:sheetData>
  <x:mergeCells>
    <x:mergeCell ref="A1:F1"/>
    <x:mergeCell ref="A2:F2"/>
  </x:mergeCells>
  <x:conditionalFormatting sqref="E5:E8">
    <x:cfRule type="expression" dxfId="8" priority="1">
      <x:formula>LEFT(E5,4)="SENT"</x:formula>
    </x:cfRule>
    <x:cfRule type="expression" dxfId="9" priority="2">
      <x:formula>LEFT(E5,12)="NOT REQUIRED"</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34" customHeight="1">
      <x:c r="A1" s="115" t="str">
        <x:v>SANSA — Outreach Record Update</x:v>
      </x:c>
      <x:c r="B1" s="115"/>
      <x:c r="C1" s="115"/>
      <x:c r="D1" s="115"/>
    </x:row>
    <x:row r="2" ht="35" customHeight="1">
      <x:c r="A2" s="119" t="str">
        <x:v>13 Sep 2026 | Targeted RFI sent 15:30 Pacific | Technical response pending</x:v>
      </x:c>
      <x:c r="B2" s="119"/>
      <x:c r="C2" s="119"/>
      <x:c r="D2" s="119"/>
    </x:row>
    <x:row r="3">
      <x:c r="A3" s="112"/>
      <x:c r="B3" s="112"/>
      <x:c r="C3" s="112"/>
      <x:c r="D3" s="112"/>
    </x:row>
    <x:row r="4" ht="29" customHeight="1">
      <x:c r="A4" s="123" t="str">
        <x:v>Organization</x:v>
      </x:c>
      <x:c r="B4" s="122" t="str">
        <x:v>SANSA — South Africa</x:v>
      </x:c>
      <x:c r="C4" s="122"/>
      <x:c r="D4" s="122"/>
    </x:row>
    <x:row r="5" ht="29" customHeight="1">
      <x:c r="A5" s="127" t="str">
        <x:v>Response type</x:v>
      </x:c>
      <x:c r="B5" s="126" t="str">
        <x:v>Automatic reply from Space Science Information / SANSA Communications.</x:v>
      </x:c>
      <x:c r="C5" s="126"/>
      <x:c r="D5" s="126"/>
    </x:row>
    <x:row r="6" ht="42" customHeight="1">
      <x:c r="A6" s="123" t="str">
        <x:v>Status</x:v>
      </x:c>
      <x:c r="B6" s="122" t="str">
        <x:v>Updated RFI sent to the named technical contact; substantive reply and suitable public data remain pending.</x:v>
      </x:c>
      <x:c r="C6" s="122"/>
      <x:c r="D6" s="122"/>
    </x:row>
    <x:row r="7" ht="29" customHeight="1">
      <x:c r="A7" s="127" t="str">
        <x:v>Named contact</x:v>
      </x:c>
      <x:c r="B7" s="126" t="str">
        <x:v>Dr Mpho Tshisaphungo</x:v>
      </x:c>
      <x:c r="C7" s="126"/>
      <x:c r="D7" s="126"/>
    </x:row>
    <x:row r="8" ht="29" customHeight="1">
      <x:c r="A8" s="123" t="str">
        <x:v>Direct email</x:v>
      </x:c>
      <x:c r="B8" s="122" t="str">
        <x:v>mtshisaphungo@sansa.org.za</x:v>
      </x:c>
      <x:c r="C8" s="122"/>
      <x:c r="D8" s="122"/>
    </x:row>
    <x:row r="9" ht="29" customHeight="1">
      <x:c r="A9" s="127" t="str">
        <x:v>Service inbox</x:v>
      </x:c>
      <x:c r="B9" s="126" t="str">
        <x:v>spaceweather@sansa.org.za</x:v>
      </x:c>
      <x:c r="C9" s="126"/>
      <x:c r="D9" s="126"/>
    </x:row>
    <x:row r="10" ht="68" customHeight="1">
      <x:c r="A10" s="123" t="str">
        <x:v>Prior follow-up</x:v>
      </x:c>
      <x:c r="B10" s="122" t="str">
        <x:v>Aug 17 postal package; Sep 13 general email to spaceweather@sansa.org.za and spacesci-info@sansa.org.za; auto-reply identified Dr Tshisaphungo. Sent-email records show ninoabstractconsulting@gmail.com as sender.</x:v>
      </x:c>
      <x:c r="C10" s="122"/>
      <x:c r="D10" s="122"/>
    </x:row>
    <x:row r="11" ht="64" customHeight="1">
      <x:c r="A11" s="127" t="str">
        <x:v>Targeted RFI — sent</x:v>
      </x:c>
      <x:c r="B11" s="126" t="str">
        <x:v>Sent Sep 13, 2026 at 15:30:15 Pacific to mtshisaphungo@sansa.org.za; Cc spaceweather@sansa.org.za. Methodology presentation attached. Full sent text is on SANSA RFI Sent 13 Sep.</x:v>
      </x:c>
      <x:c r="C11" s="126"/>
      <x:c r="D11" s="126"/>
    </x:row>
    <x:row r="12" ht="95" customHeight="1">
      <x:c r="A12" s="123" t="str">
        <x:v>Request to retain</x:v>
      </x:c>
      <x:c r="B12" s="122" t="str">
        <x:v>Directly requests measured service interruptions, availability, latency and packet loss where collected. DES outputs are uptime, downtime, latency and queueing delay. Also requests environmental/HF event timing and recovery, data-quality documentation, public links and reuse/citation terms.</x:v>
      </x:c>
      <x:c r="C12" s="122"/>
      <x:c r="D12" s="122"/>
    </x:row>
    <x:row r="13" ht="65" customHeight="1">
      <x:c r="A13" s="127" t="str">
        <x:v>Advisor update wording</x:v>
      </x:c>
      <x:c r="B13" s="126" t="str">
        <x:v>SANSA's automatic reply identified Dr Mpho Tshisaphungo. A targeted RFI has now been sent requesting measured communications impacts and supporting environmental/HF records. Technical response and file selection remain pending.</x:v>
      </x:c>
      <x:c r="C13" s="126"/>
      <x:c r="D13" s="126"/>
    </x:row>
    <x:row r="14" ht="64" customHeight="1">
      <x:c r="A14" s="123" t="str">
        <x:v>What is not confirmed</x:v>
      </x:c>
      <x:c r="B14" s="122" t="str">
        <x:v>Sent does not establish receipt, technical review or data availability. No substantive reply, usable dataset or access grant confirmed. A metric not mentioned in a response remains unconfirmed—not unavailable.</x:v>
      </x:c>
      <x:c r="C14" s="122"/>
      <x:c r="D14" s="122"/>
    </x:row>
    <x:row r="15" ht="74" customHeight="1">
      <x:c r="A15" s="127" t="str">
        <x:v>Evidence</x:v>
      </x:c>
      <x:c r="B15" s="126" t="str">
        <x:v>Verified sent message: https://mail.google.com/mail/#all/1a09ce483fb1c84d
Earlier automatic referral: https://mail.google.com/mail/#all/1a09c7161f62305d
User confirmed the updated RFI was sent.</x:v>
      </x:c>
      <x:c r="C15" s="126"/>
      <x:c r="D15" s="126"/>
    </x:row>
    <x:row r="16" ht="65" customHeight="1">
      <x:c r="A16" s="123" t="str">
        <x:v>Record control</x:v>
      </x:c>
      <x:c r="B16" s="122" t="str">
        <x:v>v04 derived from v03_Australia. Updated SANSA in Summary, POC Register and Research Fit; appended sent follow-up and a detailed sent-RFI record. Preserved Australia tabs and earlier outreach. No new email sent by assistant; no advisor slides changed.</x:v>
      </x:c>
      <x:c r="C16" s="122"/>
      <x:c r="D16" s="122"/>
    </x:row>
    <x:row r="17">
      <x:c r="A17" s="112"/>
      <x:c r="B17" s="112"/>
      <x:c r="C17" s="112"/>
      <x:c r="D17" s="112"/>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B15:D15"/>
    <x:mergeCell ref="B16:D16"/>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ht="30" customHeight="1">
      <x:c r="A1" s="149" t="str">
        <x:v>AUSTRALIA — ASWFC RESPONSE RECORD</x:v>
      </x:c>
      <x:c r="B1" s="149"/>
      <x:c r="C1" s="149"/>
      <x:c r="D1" s="149"/>
    </x:row>
    <x:row r="2" ht="30" customHeight="1">
      <x:c r="A2" s="150" t="str">
        <x:v>13 September 2026 • substantive reply received • archive/file inspection pending</x:v>
      </x:c>
      <x:c r="B2" s="150"/>
      <x:c r="C2" s="150"/>
      <x:c r="D2" s="150"/>
    </x:row>
    <x:row r="3">
      <x:c r="A3" s="144"/>
      <x:c r="B3" s="144"/>
      <x:c r="C3" s="144"/>
      <x:c r="D3" s="144"/>
    </x:row>
    <x:row r="4" ht="52" customHeight="1">
      <x:c r="A4" s="151" t="str">
        <x:v>Status</x:v>
      </x:c>
      <x:c r="B4" s="152" t="str">
        <x:v>Responded — archive/API pointers and citation guidance received. No attached dataset; no download or technical assessment recorded.</x:v>
      </x:c>
      <x:c r="C4" s="152"/>
      <x:c r="D4" s="152"/>
    </x:row>
    <x:row r="5" ht="52" customHeight="1">
      <x:c r="A5" s="151" t="str">
        <x:v>Named contact</x:v>
      </x:c>
      <x:c r="B5" s="153" t="str">
        <x:v>Cassie Marshall | Australian Space Weather Forecasting Centre | Bureau of Meteorology</x:v>
      </x:c>
      <x:c r="C5" s="153"/>
      <x:c r="D5" s="153"/>
    </x:row>
    <x:row r="6" ht="52" customHeight="1">
      <x:c r="A6" s="151" t="str">
        <x:v>Signature affiliation</x:v>
      </x:c>
      <x:c r="B6" s="152" t="str">
        <x:v>National Security and Space Program; Business Solutions Group. Recorded as written in the email signature.</x:v>
      </x:c>
      <x:c r="C6" s="152"/>
      <x:c r="D6" s="152"/>
    </x:row>
    <x:row r="7" ht="52" customHeight="1">
      <x:c r="A7" s="151" t="str">
        <x:v>Email / telephone</x:v>
      </x:c>
      <x:c r="B7" s="153" t="str">
        <x:v>ASWFC@bom.gov.au | 08 8366 2628 (Australia) | +61 8 8366 2628</x:v>
      </x:c>
      <x:c r="C7" s="153"/>
      <x:c r="D7" s="153"/>
    </x:row>
    <x:row r="8" ht="52" customHeight="1">
      <x:c r="A8" s="151" t="str">
        <x:v>Postal address</x:v>
      </x:c>
      <x:c r="B8" s="152" t="str">
        <x:v>Lot Fourteen, Adelaide, SA 5000, AUSTRALIA</x:v>
      </x:c>
      <x:c r="C8" s="152"/>
      <x:c r="D8" s="152"/>
    </x:row>
    <x:row r="9" ht="52" customHeight="1">
      <x:c r="A9" s="151" t="str">
        <x:v>Response timestamp</x:v>
      </x:c>
      <x:c r="B9" s="153" t="str">
        <x:v>2026-09-13 21:40:56 UTC; 2026-09-13 14:40:56 America/Los_Angeles. Gmail screenshot displays approximately 2:41 PM.</x:v>
      </x:c>
      <x:c r="C9" s="153"/>
      <x:c r="D9" s="153"/>
    </x:row>
    <x:row r="10" ht="52" customHeight="1">
      <x:c r="A10" s="151" t="str">
        <x:v>Outreach history</x:v>
      </x:c>
      <x:c r="B10" s="152" t="str">
        <x:v>Postal package mailed 17 Aug 2026. Follow-up email sent 13 Sep 2026 to ASWFC@bom.gov.au and space@bom.gov.au. The reply quotes ninoabstractconsulting@gmail.com as sender.</x:v>
      </x:c>
      <x:c r="C10" s="152"/>
      <x:c r="D10" s="152"/>
    </x:row>
    <x:row r="11" ht="68" customHeight="1">
      <x:c r="A11" s="151" t="str">
        <x:v>Scope of response</x:v>
      </x:c>
      <x:c r="B11" s="153" t="str">
        <x:v>Eight archive/API/product links: solar flares, Australian shortwave fadeouts, ionospheric data (e.g. foF2), regional K alerts/API, planetary Kp, daily reports and other product archives.</x:v>
      </x:c>
      <x:c r="C11" s="153"/>
      <x:c r="D11" s="153"/>
    </x:row>
    <x:row r="12" ht="68" customHeight="1">
      <x:c r="A12" s="151" t="str">
        <x:v>Open question from Cassie</x:v>
      </x:c>
      <x:c r="B12" s="152" t="str">
        <x:v>Are Australian-region K-index observations specifically needed? The alert archive covers instances of regional K reaching 5 or above; general regional K observations may require the API.</x:v>
      </x:c>
      <x:c r="C12" s="152"/>
      <x:c r="D12" s="152"/>
    </x:row>
    <x:row r="13" ht="52" customHeight="1">
      <x:c r="A13" s="151" t="str">
        <x:v>Citation instruction</x:v>
      </x:c>
      <x:c r="B13" s="153" t="str">
        <x:v>For Bureau material, citing the Australian Space Weather Forecasting Centre or Bureau of Meteorology is acceptable, per Cassie.</x:v>
      </x:c>
      <x:c r="C13" s="153"/>
      <x:c r="D13" s="153"/>
    </x:row>
    <x:row r="14" ht="52" customHeight="1">
      <x:c r="A14" s="151" t="str">
        <x:v>X-ray attribution boundary</x:v>
      </x:c>
      <x:c r="B14" s="152" t="str">
        <x:v>X-ray flux is not owned by the Bureau. Do not cite the Bureau as its source. Identify and cite the actual data provider/catalog used.</x:v>
      </x:c>
      <x:c r="C14" s="152"/>
      <x:c r="D14" s="152"/>
    </x:row>
    <x:row r="15" ht="52" customHeight="1">
      <x:c r="A15" s="151" t="str">
        <x:v>Cadence / missing data</x:v>
      </x:c>
      <x:c r="B15" s="153" t="str">
        <x:v>Cassie says cadence should be available through the linked pages. Actual cadence, quality flags, missing-data conventions and field definitions have not yet been inspected.</x:v>
      </x:c>
      <x:c r="C15" s="153"/>
      <x:c r="D15" s="153"/>
    </x:row>
    <x:row r="16" ht="68" customHeight="1">
      <x:c r="A16" s="151" t="str">
        <x:v>Proposed DES use</x:v>
      </x:c>
      <x:c r="B16" s="152" t="str">
        <x:v>Use selected environmental and alert records to inform event timing/scenario conditions, after checking their applicability. This is a proposed use, not a result demonstrated by the reply.</x:v>
      </x:c>
      <x:c r="C16" s="152"/>
      <x:c r="D16" s="152"/>
    </x:row>
    <x:row r="17" ht="68" customHeight="1">
      <x:c r="A17" s="151" t="str">
        <x:v>Measurement boundary</x:v>
      </x:c>
      <x:c r="B17" s="153" t="str">
        <x:v>The reply does not identify measured satellite RTT, packet loss, throughput, queue delay or complete service-availability traces. Environmental/HF events are not automatically satellite outages.</x:v>
      </x:c>
      <x:c r="C17" s="153"/>
      <x:c r="D17" s="153"/>
    </x:row>
    <x:row r="18" ht="52" customHeight="1">
      <x:c r="A18" s="151" t="str">
        <x:v>Next action — not sent</x:v>
      </x:c>
      <x:c r="B18" s="152" t="str">
        <x:v>Thank Cassie; clarify interest in Australian regional K and ionospheric/HF observations. Inspect public products and request missing documentation only after that review.</x:v>
      </x:c>
      <x:c r="C18" s="152"/>
      <x:c r="D18" s="152"/>
    </x:row>
    <x:row r="19" ht="68" customHeight="1">
      <x:c r="A19" s="151" t="str">
        <x:v>Advisor update — proposed</x:v>
      </x:c>
      <x:c r="B19" s="153" t="str">
        <x:v>Australia's ASWFC provided public archive/API pointers and citation guidance for flare, HF-fadeout, ionospheric and geomagnetic records. These are candidate environmental inputs; file selection and suitability checks remain open.</x:v>
      </x:c>
      <x:c r="C19" s="153"/>
      <x:c r="D19" s="153"/>
    </x:row>
    <x:row r="20" ht="52" customHeight="1">
      <x:c r="A20" s="151" t="str">
        <x:v>Source email</x:v>
      </x:c>
      <x:c r="B20" s="152" t="str">
        <x:v>https://mail.google.com/mail/#all/1a09cb781ddc837a</x:v>
      </x:c>
      <x:c r="C20" s="152"/>
      <x:c r="D20" s="152"/>
    </x:row>
    <x:row r="21" ht="52" customHeight="1">
      <x:c r="A21" s="151" t="str">
        <x:v>Source subject</x:v>
      </x:c>
      <x:c r="B21" s="153" t="str">
        <x:v>RE: Follow-up: GWU Doctoral Research Data Request — Historical Space-Weather / HF-Fadeout Data</x:v>
      </x:c>
      <x:c r="C21" s="153"/>
      <x:c r="D21" s="153"/>
    </x:row>
    <x:row r="22" ht="52" customHeight="1">
      <x:c r="A22" s="151" t="str">
        <x:v>Source / verification limit</x:v>
      </x:c>
      <x:c r="B22" s="152" t="str">
        <x:v>Cassie Marshall email + user screenshot, 13 Sep 2026. Archive URLs copied from email; destinations and data contents were not independently reviewed in this update.</x:v>
      </x:c>
      <x:c r="C22" s="152"/>
      <x:c r="D22" s="152"/>
    </x:row>
    <x:row r="23" ht="68" customHeight="1">
      <x:c r="A23" s="151" t="str">
        <x:v>Version / changes</x:v>
      </x:c>
      <x:c r="B23" s="153" t="str">
        <x:v>v03 derives from v02_SANSA. Updated Australia in POC Register, Research Fit and Follow-Up Emails; added two Australia tabs. Split Japan/Australia status and normalized six-country reply counts. Existing SANSA records retained.</x:v>
      </x:c>
      <x:c r="C23" s="153"/>
      <x:c r="D23" s="153"/>
    </x:row>
    <x:row r="24" ht="52" customHeight="1">
      <x:c r="A24" s="151" t="str">
        <x:v>Source marking</x:v>
      </x:c>
      <x:c r="B24" s="152" t="str">
        <x:v>The email carries the label OFFICIAL. Recorded without interpreting the marking or treating it as a reuse license.</x:v>
      </x:c>
      <x:c r="C24" s="152"/>
      <x:c r="D24" s="152"/>
    </x:row>
    <x:row r="25">
      <x:c r="A25" s="144"/>
      <x:c r="B25" s="144"/>
      <x:c r="C25" s="144"/>
      <x:c r="D25" s="144"/>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B15:D15"/>
    <x:mergeCell ref="B16:D16"/>
    <x:mergeCell ref="B17:D17"/>
    <x:mergeCell ref="B18:D18"/>
    <x:mergeCell ref="B19:D19"/>
    <x:mergeCell ref="B20:D20"/>
    <x:mergeCell ref="B21:D21"/>
    <x:mergeCell ref="B22:D22"/>
    <x:mergeCell ref="B23:D23"/>
    <x:mergeCell ref="B24:D24"/>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5" hidden="0" customWidth="1"/>
    <x:col min="3" max="3" width="28" hidden="0" customWidth="1"/>
    <x:col min="4" max="4" width="35" hidden="0" customWidth="1"/>
    <x:col min="5" max="5" width="39" hidden="0" customWidth="1"/>
    <x:col min="6" max="6" width="38" hidden="0" customWidth="1"/>
    <x:col min="7" max="7" width="40" hidden="0" customWidth="1"/>
    <x:col min="8" max="8" width="40" hidden="0" customWidth="1"/>
  </x:cols>
  <x:sheetData>
    <x:row r="1" ht="30" customHeight="1">
      <x:c r="A1" s="155" t="str">
        <x:v>AUSTRALIA — SOURCE POINTERS FROM CASSIE MARSHALL</x:v>
      </x:c>
      <x:c r="B1" s="155"/>
      <x:c r="C1" s="155"/>
      <x:c r="D1" s="155"/>
      <x:c r="E1" s="155"/>
      <x:c r="F1" s="155"/>
      <x:c r="G1" s="155"/>
      <x:c r="H1" s="155"/>
    </x:row>
    <x:row r="2" ht="30" customHeight="1">
      <x:c r="A2" s="157" t="str">
        <x:v>Email received 13 Sep 2026 • entries reflect the email, not independent archive inspection • intended DES uses are proposals</x:v>
      </x:c>
      <x:c r="B2" s="157"/>
      <x:c r="C2" s="157"/>
      <x:c r="D2" s="157"/>
      <x:c r="E2" s="157"/>
      <x:c r="F2" s="157"/>
      <x:c r="G2" s="157"/>
      <x:c r="H2" s="157"/>
    </x:row>
    <x:row r="3" ht="26" customHeight="1">
      <x:c r="A3" s="93" t="str">
        <x:v>Source correspondence: https://mail.google.com/mail/#all/1a09cb781ddc837a</x:v>
      </x:c>
      <x:c r="B3" s="93"/>
      <x:c r="C3" s="93"/>
      <x:c r="D3" s="93"/>
      <x:c r="E3" s="93"/>
      <x:c r="F3" s="93"/>
      <x:c r="G3" s="93"/>
      <x:c r="H3" s="93"/>
    </x:row>
    <x:row r="5" ht="40" customHeight="1">
      <x:c r="A5" s="160" t="str">
        <x:v>ID</x:v>
      </x:c>
      <x:c r="B5" s="160" t="str">
        <x:v>Product / archive</x:v>
      </x:c>
      <x:c r="C5" s="160" t="str">
        <x:v>Provider / source distinction</x:v>
      </x:c>
      <x:c r="D5" s="160" t="str">
        <x:v>What the email says</x:v>
      </x:c>
      <x:c r="E5" s="160" t="str">
        <x:v>Coverage / interpretation limit</x:v>
      </x:c>
      <x:c r="F5" s="160" t="str">
        <x:v>Proposed use — not yet adopted</x:v>
      </x:c>
      <x:c r="G5" s="160" t="str">
        <x:v>Citation / remaining check</x:v>
      </x:c>
      <x:c r="H5" s="160" t="str">
        <x:v>Exact URL supplied</x:v>
      </x:c>
    </x:row>
    <x:row r="6" ht="106" customHeight="1">
      <x:c r="A6" s="152" t="str">
        <x:v>AU-01</x:v>
      </x:c>
      <x:c r="B6" s="152" t="str">
        <x:v>GOES Solar Flare Catalog &amp; Explorer (1975–2026)</x:v>
      </x:c>
      <x:c r="C6" s="152" t="str">
        <x:v>External link: rudimirz.com; not a Bureau-owned X-ray source</x:v>
      </x:c>
      <x:c r="D6" s="152" t="str">
        <x:v>Observed solar flares from 1975.</x:v>
      </x:c>
      <x:c r="E6" s="152" t="str">
        <x:v>1975–2026 is the linked title. Record fields and completeness not inspected.</x:v>
      </x:c>
      <x:c r="F6" s="152" t="str">
        <x:v>Candidate flare event timing for environmental scenarios.</x:v>
      </x:c>
      <x:c r="G6" s="152" t="str">
        <x:v>Identify/cite original provider/catalog used. Do not credit Bureau as X-ray-flux owner.</x:v>
      </x:c>
      <x:c r="H6" s="152" t="str">
        <x:v>https://rudimirz.com/flares/</x:v>
      </x:c>
    </x:row>
    <x:row r="7" ht="106" customHeight="1">
      <x:c r="A7" s="153" t="str">
        <x:v>AU-02</x:v>
      </x:c>
      <x:c r="B7" s="153" t="str">
        <x:v>The ips-swf-alert Archives</x:v>
      </x:c>
      <x:c r="C7" s="153" t="str">
        <x:v>ASWFC/Bureau archive</x:v>
      </x:c>
      <x:c r="D7" s="153" t="str">
        <x:v>Shortwave-fadeout archive.</x:v>
      </x:c>
      <x:c r="E7" s="153" t="str">
        <x:v>Restricted to Australian region in the reply. No complete service-uptime series specified.</x:v>
      </x:c>
      <x:c r="F7" s="153" t="str">
        <x:v>Candidate HF-impact event timing; onset/duration/recovery only if records support them.</x:v>
      </x:c>
      <x:c r="G7" s="153" t="str">
        <x:v>Cite ASWFC/Bureau; inspect timestamps, cadence, event definitions and usage terms.</x:v>
      </x:c>
      <x:c r="H7" s="153" t="str">
        <x:v>https://listserver.ips.gov.au/pipermail/ips-swf-alert/</x:v>
      </x:c>
    </x:row>
    <x:row r="8" ht="106" customHeight="1">
      <x:c r="A8" s="152" t="str">
        <x:v>AU-03</x:v>
      </x:c>
      <x:c r="B8" s="152" t="str">
        <x:v>SWS — Data Display and Download — Ionospheric</x:v>
      </x:c>
      <x:c r="C8" s="152" t="str">
        <x:v>ASWFC/Bureau SWS</x:v>
      </x:c>
      <x:c r="D8" s="152" t="str">
        <x:v>Australian-region ionospheric data, including foF2.</x:v>
      </x:c>
      <x:c r="E8" s="152" t="str">
        <x:v>Stations, time span, field units and quality flags not detailed in reply.</x:v>
      </x:c>
      <x:c r="F8" s="152" t="str">
        <x:v>Candidate ionospheric context for chosen event windows.</x:v>
      </x:c>
      <x:c r="G8" s="152" t="str">
        <x:v>Cite ASWFC/Bureau; inspect available station records and metadata.</x:v>
      </x:c>
      <x:c r="H8" s="152" t="str">
        <x:v>https://www.sws.bom.gov.au/World_Data_Centre/1/3</x:v>
      </x:c>
    </x:row>
    <x:row r="9" ht="106" customHeight="1">
      <x:c r="A9" s="153" t="str">
        <x:v>AU-04</x:v>
      </x:c>
      <x:c r="B9" s="153" t="str">
        <x:v>The ips-mag-alert Archives</x:v>
      </x:c>
      <x:c r="C9" s="153" t="str">
        <x:v>ASWFC/Bureau archive</x:v>
      </x:c>
      <x:c r="D9" s="153" t="str">
        <x:v>Instances when Australian regional K-index reached 5 or above.</x:v>
      </x:c>
      <x:c r="E9" s="153" t="str">
        <x:v>Threshold-triggered alerts; not presented as the full regional K time series.</x:v>
      </x:c>
      <x:c r="F9" s="153" t="str">
        <x:v>Candidate geomagnetic-event windows.</x:v>
      </x:c>
      <x:c r="G9" s="153" t="str">
        <x:v>Cite ASWFC/Bureau; distinguish regional K from planetary Kp.</x:v>
      </x:c>
      <x:c r="H9" s="153" t="str">
        <x:v>https://listserver.ips.gov.au/pipermail/ips-mag-alert/</x:v>
      </x:c>
    </x:row>
    <x:row r="10" ht="106" customHeight="1">
      <x:c r="A10" s="152" t="str">
        <x:v>AU-05</x:v>
      </x:c>
      <x:c r="B10" s="152" t="str">
        <x:v>Space Weather API — Bureau of Meteorology</x:v>
      </x:c>
      <x:c r="C10" s="152" t="str">
        <x:v>ASWFC/Bureau API</x:v>
      </x:c>
      <x:c r="D10" s="152" t="str">
        <x:v>May be needed for general regional K-index observations.</x:v>
      </x:c>
      <x:c r="E10" s="152" t="str">
        <x:v>Cassie asked whether Australian regional K is wanted. Access rules/cadence not yet checked.</x:v>
      </x:c>
      <x:c r="F10" s="152" t="str">
        <x:v>Candidate general regional K observations beyond alert-only records.</x:v>
      </x:c>
      <x:c r="G10" s="152" t="str">
        <x:v>Cite ASWFC/Bureau; check authentication, history, fields and usage terms.</x:v>
      </x:c>
      <x:c r="H10" s="152" t="str">
        <x:v>https://sws-data.sws.bom.gov.au/</x:v>
      </x:c>
    </x:row>
    <x:row r="11" ht="106" customHeight="1">
      <x:c r="A11" s="153" t="str">
        <x:v>AU-06</x:v>
      </x:c>
      <x:c r="B11" s="153" t="str">
        <x:v>Home — Kp index</x:v>
      </x:c>
      <x:c r="C11" s="153" t="str">
        <x:v>External link: kp.gfz.de</x:v>
      </x:c>
      <x:c r="D11" s="153" t="str">
        <x:v>Planetary K-index archive referral.</x:v>
      </x:c>
      <x:c r="E11" s="153" t="str">
        <x:v>Planetary Kp is separate from Australian regional K.</x:v>
      </x:c>
      <x:c r="F11" s="153" t="str">
        <x:v>Candidate global geomagnetic context, if needed.</x:v>
      </x:c>
      <x:c r="G11" s="153" t="str">
        <x:v>Check source-specific citation guidance; do not assume Bureau owns this archive.</x:v>
      </x:c>
      <x:c r="H11" s="153" t="str">
        <x:v>https://kp.gfz.de/en/</x:v>
      </x:c>
    </x:row>
    <x:row r="12" ht="106" customHeight="1">
      <x:c r="A12" s="152" t="str">
        <x:v>AU-07</x:v>
      </x:c>
      <x:c r="B12" s="152" t="str">
        <x:v>The ips-dsgr Archives</x:v>
      </x:c>
      <x:c r="C12" s="152" t="str">
        <x:v>ASWFC/Bureau archive</x:v>
      </x:c>
      <x:c r="D12" s="152" t="str">
        <x:v>Daily space-weather observations in reports.</x:v>
      </x:c>
      <x:c r="E12" s="152" t="str">
        <x:v>Daily reports; not presented as high-cadence network telemetry.</x:v>
      </x:c>
      <x:c r="F12" s="152" t="str">
        <x:v>Candidate event context and comparison with other environmental products.</x:v>
      </x:c>
      <x:c r="G12" s="152" t="str">
        <x:v>Cite ASWFC/Bureau; inspect report content, dates and time standard.</x:v>
      </x:c>
      <x:c r="H12" s="152" t="str">
        <x:v>https://listserver.ips.gov.au/pipermail/ips-dsgr/</x:v>
      </x:c>
    </x:row>
    <x:row r="13" ht="106" customHeight="1">
      <x:c r="A13" s="153" t="str">
        <x:v>AU-08</x:v>
      </x:c>
      <x:c r="B13" s="153" t="str">
        <x:v>SWS — Subscribe to ASWFC — Mailing List</x:v>
      </x:c>
      <x:c r="C13" s="153" t="str">
        <x:v>ASWFC/Bureau product directory</x:v>
      </x:c>
      <x:c r="D13" s="153" t="str">
        <x:v>Other products may be useful; open the product and find its archive link.</x:v>
      </x:c>
      <x:c r="E13" s="153" t="str">
        <x:v>Discovery directory, not itself a selected dataset.</x:v>
      </x:c>
      <x:c r="F13" s="153" t="str">
        <x:v>Optional further product discovery without expanding scope by default.</x:v>
      </x:c>
      <x:c r="G13" s="153" t="str">
        <x:v>Record the exact product, archive and citation if one is selected.</x:v>
      </x:c>
      <x:c r="H13" s="153" t="str">
        <x:v>https://www.sws.bom.gov.au/Products_and_Services/4/1</x:v>
      </x:c>
    </x:row>
  </x:sheetData>
  <x:mergeCells>
    <x:mergeCell ref="A1:H1"/>
    <x:mergeCell ref="A2:H2"/>
    <x:mergeCell ref="A3:H3"/>
  </x:mergeCells>
  <x:pageMargins left="0.7" right="0.7" top="0.75" bottom="0.75" header="0.3" footer="0.3"/>
  <x:tableParts count="1">
    <x:tablePart xmlns:r="http://schemas.openxmlformats.org/officeDocument/2006/relationships" r:id="R4a53428ebcff491e"/>
  </x:tableParts>
</x:worksheet>
</file>

<file path=xl/worksheets/sheet8.xml><?xml version="1.0" encoding="utf-8"?>
<x:worksheet xmlns:x="http://schemas.openxmlformats.org/spreadsheetml/2006/main">
  <x:sheetFormatPr defaultRowHeight="15"/>
  <x:cols>
    <x:col min="1" max="1" width="27" hidden="0" customWidth="1"/>
    <x:col min="2" max="2" width="24" hidden="0" customWidth="1"/>
    <x:col min="3" max="3" width="24" hidden="0" customWidth="1"/>
    <x:col min="4" max="4" width="24" hidden="0" customWidth="1"/>
  </x:cols>
  <x:sheetData>
    <x:row r="1" ht="34" customHeight="1">
      <x:c r="A1" s="177" t="str">
        <x:v>SANSA — Targeted RFI Sent</x:v>
      </x:c>
      <x:c r="B1" s="177"/>
      <x:c r="C1" s="177"/>
      <x:c r="D1" s="177"/>
    </x:row>
    <x:row r="2" ht="32" customHeight="1">
      <x:c r="A2" s="180" t="str">
        <x:v>Verified dispatch • 13 Sep 2026, 15:30 Pacific • Reply and data pending</x:v>
      </x:c>
      <x:c r="B2" s="180"/>
      <x:c r="C2" s="180"/>
      <x:c r="D2" s="180"/>
    </x:row>
    <x:row r="3">
      <x:c r="A3" s="80"/>
      <x:c r="B3" s="80"/>
      <x:c r="C3" s="80"/>
      <x:c r="D3" s="80"/>
    </x:row>
    <x:row r="4" ht="44" customHeight="1">
      <x:c r="A4" s="184" t="str">
        <x:v>Status</x:v>
      </x:c>
      <x:c r="B4" s="183" t="str">
        <x:v>Targeted RFI sent; substantive technical reply pending.</x:v>
      </x:c>
      <x:c r="C4" s="183"/>
      <x:c r="D4" s="183"/>
    </x:row>
    <x:row r="5" ht="44" customHeight="1">
      <x:c r="A5" s="188" t="str">
        <x:v>Recipient</x:v>
      </x:c>
      <x:c r="B5" s="187" t="str">
        <x:v>Dr Mpho Tshisaphungo — mtshisaphungo@sansa.org.za</x:v>
      </x:c>
      <x:c r="C5" s="187"/>
      <x:c r="D5" s="187"/>
    </x:row>
    <x:row r="6" ht="44" customHeight="1">
      <x:c r="A6" s="184" t="str">
        <x:v>Cc</x:v>
      </x:c>
      <x:c r="B6" s="183" t="str">
        <x:v>spaceweather@sansa.org.za</x:v>
      </x:c>
      <x:c r="C6" s="183"/>
      <x:c r="D6" s="183"/>
    </x:row>
    <x:row r="7" ht="44" customHeight="1">
      <x:c r="A7" s="188" t="str">
        <x:v>Sent (Pacific)</x:v>
      </x:c>
      <x:c r="B7" s="189" t="n">
        <x:v>46278.646006944444</x:v>
      </x:c>
      <x:c r="C7" s="187"/>
      <x:c r="D7" s="187"/>
    </x:row>
    <x:row r="8" ht="44" customHeight="1">
      <x:c r="A8" s="184" t="str">
        <x:v>Sent (UTC)</x:v>
      </x:c>
      <x:c r="B8" s="183" t="str">
        <x:v>2026-09-13 22:30:15 UTC</x:v>
      </x:c>
      <x:c r="C8" s="183"/>
      <x:c r="D8" s="183"/>
    </x:row>
    <x:row r="9" ht="44" customHeight="1">
      <x:c r="A9" s="188" t="str">
        <x:v>Sender</x:v>
      </x:c>
      <x:c r="B9" s="187" t="str">
        <x:v>Carlo Nino &lt;ninoabstractconsulting@gmail.com&gt;</x:v>
      </x:c>
      <x:c r="C9" s="187"/>
      <x:c r="D9" s="187"/>
    </x:row>
    <x:row r="10" ht="58" customHeight="1">
      <x:c r="A10" s="184" t="str">
        <x:v>Subject</x:v>
      </x:c>
      <x:c r="B10" s="183" t="str">
        <x:v>Follow-up: GWU Doctoral Research Data Request — Regional Space Weather and HF Propagation</x:v>
      </x:c>
      <x:c r="C10" s="183"/>
      <x:c r="D10" s="183"/>
    </x:row>
    <x:row r="11" ht="44" customHeight="1">
      <x:c r="A11" s="188" t="str">
        <x:v>Attachment</x:v>
      </x:c>
      <x:c r="B11" s="187" t="str">
        <x:v>Nino_Carlo_Methodology - Praxis .pptx</x:v>
      </x:c>
      <x:c r="C11" s="187"/>
      <x:c r="D11" s="187"/>
    </x:row>
    <x:row r="12" ht="58" customHeight="1">
      <x:c r="A12" s="184" t="str">
        <x:v>Evidence</x:v>
      </x:c>
      <x:c r="B12" s="183" t="str">
        <x:v>https://mail.google.com/mail/#all/1a09ce483fb1c84d</x:v>
      </x:c>
      <x:c r="C12" s="183"/>
      <x:c r="D12" s="183"/>
    </x:row>
    <x:row r="13" ht="44" customHeight="1">
      <x:c r="A13" s="188" t="str">
        <x:v>Prior contacts</x:v>
      </x:c>
      <x:c r="B13" s="187" t="str">
        <x:v>Mailed package: Aug 17, 2026. General follow-up email and automatic routing reply: Sep 13, 2026.</x:v>
      </x:c>
      <x:c r="C13" s="187"/>
      <x:c r="D13" s="187"/>
    </x:row>
    <x:row r="14" ht="58" customHeight="1">
      <x:c r="A14" s="184" t="str">
        <x:v>Next action</x:v>
      </x:c>
      <x:c r="B14" s="183" t="str">
        <x:v>Await technical response; record available variables, public archive links, limitations or referral. Do not infer absence of a metric from silence.</x:v>
      </x:c>
      <x:c r="C14" s="183"/>
      <x:c r="D14" s="183"/>
    </x:row>
    <x:row r="15">
      <x:c r="A15" s="80"/>
      <x:c r="B15" s="80"/>
      <x:c r="C15" s="80"/>
      <x:c r="D15" s="80"/>
    </x:row>
    <x:row r="16" ht="26" customHeight="1">
      <x:c r="A16" s="190" t="str">
        <x:v>METRIC COVERAGE — REQUESTED IS NOT YET PROVIDED</x:v>
      </x:c>
      <x:c r="B16" s="190"/>
      <x:c r="C16" s="190"/>
      <x:c r="D16" s="190"/>
    </x:row>
    <x:row r="17" ht="28" customHeight="1">
      <x:c r="A17" s="180" t="str">
        <x:v>Metric</x:v>
      </x:c>
      <x:c r="B17" s="180" t="str">
        <x:v>Sent request</x:v>
      </x:c>
      <x:c r="C17" s="180" t="str">
        <x:v>Reply/data status</x:v>
      </x:c>
      <x:c r="D17" s="180" t="str">
        <x:v>Interpretation</x:v>
      </x:c>
    </x:row>
    <x:row r="18" ht="74" customHeight="1">
      <x:c r="A18" s="183" t="str">
        <x:v>Latency</x:v>
      </x:c>
      <x:c r="B18" s="183" t="str">
        <x:v>Directly requested</x:v>
      </x:c>
      <x:c r="C18" s="183" t="str">
        <x:v>Not yet confirmed</x:v>
      </x:c>
      <x:c r="D18" s="183" t="str">
        <x:v>Measured observations requested; not presumed held by SANSA.</x:v>
      </x:c>
    </x:row>
    <x:row r="19" ht="74" customHeight="1">
      <x:c r="A19" s="144" t="str">
        <x:v>Uptime / availability</x:v>
      </x:c>
      <x:c r="B19" s="144" t="str">
        <x:v>Availability requested; uptime stated as DES output</x:v>
      </x:c>
      <x:c r="C19" s="144" t="str">
        <x:v>Not yet confirmed</x:v>
      </x:c>
      <x:c r="D19" s="144" t="str">
        <x:v>Service definition and observation coverage still needed.</x:v>
      </x:c>
    </x:row>
    <x:row r="20" ht="74" customHeight="1">
      <x:c r="A20" s="183" t="str">
        <x:v>Downtime / interruptions</x:v>
      </x:c>
      <x:c r="B20" s="183" t="str">
        <x:v>Interruptions requested; downtime stated as DES output</x:v>
      </x:c>
      <x:c r="C20" s="183" t="str">
        <x:v>Not yet confirmed</x:v>
      </x:c>
      <x:c r="D20" s="183" t="str">
        <x:v>Outage vs missing data must be distinguished.</x:v>
      </x:c>
    </x:row>
    <x:row r="21" ht="74" customHeight="1">
      <x:c r="A21" s="144" t="str">
        <x:v>Recovery</x:v>
      </x:c>
      <x:c r="B21" s="144" t="str">
        <x:v>Event onset/duration/recovery requested for HF conditions</x:v>
      </x:c>
      <x:c r="C21" s="144" t="str">
        <x:v>Not yet confirmed</x:v>
      </x:c>
      <x:c r="D21" s="144" t="str">
        <x:v>HF/environmental recovery is not direct satellite recovery evidence.</x:v>
      </x:c>
    </x:row>
    <x:row r="22" ht="74" customHeight="1">
      <x:c r="A22" s="183" t="str">
        <x:v>Queueing / bottlenecks</x:v>
      </x:c>
      <x:c r="B22" s="183" t="str">
        <x:v>Queueing delay stated as DES output only</x:v>
      </x:c>
      <x:c r="C22" s="183" t="str">
        <x:v>Not yet confirmed</x:v>
      </x:c>
      <x:c r="D22" s="183" t="str">
        <x:v>Direct queue-delay measurements not separately requested in this email.</x:v>
      </x:c>
    </x:row>
    <x:row r="23">
      <x:c r="A23" s="80"/>
      <x:c r="B23" s="80"/>
      <x:c r="C23" s="80"/>
      <x:c r="D23" s="80"/>
    </x:row>
    <x:row r="24" ht="26" customHeight="1">
      <x:c r="A24" s="190" t="str">
        <x:v>SENT EMAIL TEXT — TRANSCRIBED FROM GMAIL</x:v>
      </x:c>
      <x:c r="B24" s="190"/>
      <x:c r="C24" s="190"/>
      <x:c r="D24" s="190"/>
    </x:row>
    <x:row r="25" ht="32" customHeight="1">
      <x:c r="A25" s="144" t="str">
        <x:v>Dear Dr. Tshisaphungo,</x:v>
      </x:c>
      <x:c r="B25" s="144"/>
      <x:c r="C25" s="144"/>
      <x:c r="D25" s="144"/>
    </x:row>
    <x:row r="26" ht="60" customHeight="1">
      <x:c r="A26" s="144" t="str">
        <x:v>I am following up on the research-request package I mailed to SANSA on August 17, 2026, and my email of September 13, which included my methodology slides. SANSA’s automatic reply identified you as the contact for space-weather services.</x:v>
      </x:c>
      <x:c r="B26" s="144"/>
      <x:c r="C26" s="144"/>
      <x:c r="D26" s="144"/>
    </x:row>
    <x:row r="27" ht="60" customHeight="1">
      <x:c r="A27" s="144" t="str">
        <x:v>I am a Doctor of Engineering student at The George Washington University. My research uses discrete-event simulation to test whether processing data onboard satellites can maintain service and reduce delays when ground-dependent communications are disrupted.</x:v>
      </x:c>
      <x:c r="B27" s="144"/>
      <x:c r="C27" s="144"/>
      <x:c r="D27" s="144"/>
    </x:row>
    <x:row r="28" ht="48" customHeight="1">
      <x:c r="A28" s="144" t="str">
        <x:v>I am seeking public historical Southern African observations that could help define realistic disruption and recovery scenarios, particularly:</x:v>
      </x:c>
      <x:c r="B28" s="144"/>
      <x:c r="C28" s="144"/>
      <x:c r="D28" s="144"/>
    </x:row>
    <x:row r="29" ht="32" customHeight="1">
      <x:c r="A29" s="144" t="str">
        <x:v>Geomagnetic and ionospheric conditions: Regional K-index records or other relevant measurements, with timestamps.</x:v>
      </x:c>
      <x:c r="B29" s="144"/>
      <x:c r="C29" s="144"/>
      <x:c r="D29" s="144"/>
    </x:row>
    <x:row r="30" ht="48" customHeight="1">
      <x:c r="A30" s="144" t="str">
        <x:v>HF propagation disruptions: Fadeouts or degraded-propagation records showing event onset, duration, severity and recovery, where recorded.</x:v>
      </x:c>
      <x:c r="B30" s="144"/>
      <x:c r="C30" s="144"/>
      <x:c r="D30" s="144"/>
    </x:row>
    <x:row r="31" ht="48" customHeight="1">
      <x:c r="A31" s="144" t="str">
        <x:v>Measured communications impacts: Service interruptions, availability, latency or packet loss, if these were collected alongside the environmental observations.</x:v>
      </x:c>
      <x:c r="B31" s="144"/>
      <x:c r="C31" s="144"/>
      <x:c r="D31" s="144"/>
    </x:row>
    <x:row r="32" ht="32" customHeight="1">
      <x:c r="A32" s="144" t="str">
        <x:v>My simulation will measure uptime, downtime, latency and queueing delay.</x:v>
      </x:c>
      <x:c r="B32" s="144"/>
      <x:c r="C32" s="144"/>
      <x:c r="D32" s="144"/>
    </x:row>
    <x:row r="33" ht="48" customHeight="1">
      <x:c r="A33" s="144" t="str">
        <x:v>Your observations would help ground its disruption scenarios in recorded events rather than arbitrary assumptions. I would distinguish environmental and HF observations from direct measurements of satellite-link performance.</x:v>
      </x:c>
      <x:c r="B33" s="144"/>
      <x:c r="C33" s="144"/>
      <x:c r="D33" s="144"/>
    </x:row>
    <x:row r="34" ht="48" customHeight="1">
      <x:c r="A34" s="144" t="str">
        <x:v>Please also point me to documentation explaining sampling intervals, time zones, quality flags and missing records, so I can interpret the data correctly.</x:v>
      </x:c>
      <x:c r="B34" s="144"/>
      <x:c r="C34" s="144"/>
      <x:c r="D34" s="144"/>
    </x:row>
    <x:row r="35" ht="60" customHeight="1">
      <x:c r="A35" s="144" t="str">
        <x:v>A public archive link and a recommendation of suitable datasets would be sufficient. I am not requesting new measurements or restricted information. Please include any reuse conditions and the preferred citations; SANSA’s contributions will be appropriately acknowledged.</x:v>
      </x:c>
      <x:c r="B35" s="144"/>
      <x:c r="C35" s="144"/>
      <x:c r="D35" s="144"/>
    </x:row>
    <x:row r="36" ht="32" customHeight="1">
      <x:c r="A36" s="144" t="str">
        <x:v>Thank you for your time and assistance.</x:v>
      </x:c>
      <x:c r="B36" s="144"/>
      <x:c r="C36" s="144"/>
      <x:c r="D36" s="144"/>
    </x:row>
    <x:row r="37" ht="84" customHeight="1">
      <x:c r="A37" s="144" t="str">
        <x:v>Respectfully,
Carlo Antonio Nino
Doctor of Engineering Student — Systems Engineering
The George Washington University
carlo.nino@gwmail.gwu.edu</x:v>
      </x:c>
      <x:c r="B37" s="144"/>
      <x:c r="C37" s="144"/>
      <x:c r="D37" s="144"/>
    </x:row>
    <x:row r="38">
      <x:c r="A38" s="80"/>
      <x:c r="B38" s="80"/>
      <x:c r="C38" s="80"/>
      <x:c r="D38" s="80"/>
    </x:row>
    <x:row r="39" ht="26" customHeight="1">
      <x:c r="A39" s="190" t="str">
        <x:v>RFI QC / RECORD CONTROL</x:v>
      </x:c>
      <x:c r="B39" s="190"/>
      <x:c r="C39" s="190"/>
      <x:c r="D39" s="190"/>
    </x:row>
    <x:row r="40" ht="66" customHeight="1">
      <x:c r="A40" s="144" t="str">
        <x:v>Carlo's instruction: future RFIs should lead with the DES performance measures—latency, uptime/availability, downtime and recovery—and explicitly ask what direct measurements are held. Environmental context is a separate request. An omitted metric is not a negative availability finding.</x:v>
      </x:c>
      <x:c r="B40" s="144"/>
      <x:c r="C40" s="144"/>
      <x:c r="D40" s="144"/>
    </x:row>
    <x:row r="41" ht="66" customHeight="1">
      <x:c r="A41" s="144" t="str">
        <x:v>v04 changes SANSA follow-up status only; earlier response history and Australia archive/citation guidance are retained. Outreach counts are unchanged. Sent-message evidence is not delivery confirmation or a dataset acquisition. No email was sent by the assistant.</x:v>
      </x:c>
      <x:c r="B41" s="144"/>
      <x:c r="C41" s="144"/>
      <x:c r="D41" s="144"/>
    </x:row>
    <x:row r="42">
      <x:c r="A42" s="80"/>
      <x:c r="B42" s="80"/>
      <x:c r="C42" s="80"/>
      <x:c r="D42" s="80"/>
    </x:row>
    <x:row r="43">
      <x:c r="A43" s="80"/>
      <x:c r="B43" s="80"/>
      <x:c r="C43" s="80"/>
      <x:c r="D43" s="80"/>
    </x:row>
    <x:row r="44">
      <x:c r="A44" s="80"/>
      <x:c r="B44" s="80"/>
      <x:c r="C44" s="80"/>
      <x:c r="D44" s="80"/>
    </x:row>
    <x:row r="45">
      <x:c r="A45" s="80"/>
      <x:c r="B45" s="80"/>
      <x:c r="C45" s="80"/>
      <x:c r="D45" s="80"/>
    </x:row>
    <x:row r="46">
      <x:c r="A46" s="80"/>
      <x:c r="B46" s="80"/>
      <x:c r="C46" s="80"/>
      <x:c r="D46" s="80"/>
    </x:row>
  </x:sheetData>
  <x:mergeCells>
    <x:mergeCell ref="A1:D1"/>
    <x:mergeCell ref="A2:D2"/>
    <x:mergeCell ref="B4:D4"/>
    <x:mergeCell ref="B5:D5"/>
    <x:mergeCell ref="B6:D6"/>
    <x:mergeCell ref="B7:D7"/>
    <x:mergeCell ref="B8:D8"/>
    <x:mergeCell ref="B9:D9"/>
    <x:mergeCell ref="B10:D10"/>
    <x:mergeCell ref="B11:D11"/>
    <x:mergeCell ref="B12:D12"/>
    <x:mergeCell ref="B13:D13"/>
    <x:mergeCell ref="B14:D14"/>
    <x:mergeCell ref="A16:D16"/>
    <x:mergeCell ref="A24:D24"/>
    <x:mergeCell ref="A25:D25"/>
    <x:mergeCell ref="A26:D26"/>
    <x:mergeCell ref="A27:D27"/>
    <x:mergeCell ref="A28:D28"/>
    <x:mergeCell ref="A29:D29"/>
    <x:mergeCell ref="A30:D30"/>
    <x:mergeCell ref="A31:D31"/>
    <x:mergeCell ref="A32:D32"/>
    <x:mergeCell ref="A33:D33"/>
    <x:mergeCell ref="A34:D34"/>
    <x:mergeCell ref="A35:D35"/>
    <x:mergeCell ref="A36:D36"/>
    <x:mergeCell ref="A37:D37"/>
    <x:mergeCell ref="A39:D39"/>
    <x:mergeCell ref="A40:D40"/>
    <x:mergeCell ref="A41:D41"/>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6" hidden="0" customWidth="1"/>
    <x:col min="3" max="3" width="17" hidden="0" customWidth="1"/>
    <x:col min="4" max="4" width="14" hidden="0" customWidth="1"/>
    <x:col min="5" max="5" width="25" hidden="0" customWidth="1"/>
    <x:col min="6" max="6" width="39" hidden="0" customWidth="1"/>
    <x:col min="7" max="7" width="39" hidden="0" customWidth="1"/>
    <x:col min="8" max="8" width="40" hidden="0" customWidth="1"/>
    <x:col min="9" max="9" width="14" hidden="0" customWidth="1"/>
  </x:cols>
  <x:sheetData>
    <x:row r="1" ht="30" customHeight="1">
      <x:c r="A1" s="204" t="str">
        <x:v>RESEARCH SOURCE STATUS</x:v>
      </x:c>
      <x:c r="B1" s="204"/>
      <x:c r="C1" s="204"/>
      <x:c r="D1" s="204"/>
      <x:c r="E1" s="204"/>
      <x:c r="F1" s="204"/>
      <x:c r="G1" s="204"/>
      <x:c r="H1" s="204"/>
      <x:c r="I1" s="204"/>
    </x:row>
    <x:row r="2" ht="32" customHeight="1">
      <x:c r="A2" s="207" t="str">
        <x:v>Current correspondence evidence is retained; source/contact/access additions recorded 15 Sep 2026. Directory links do not imply data download, adoption, or newly sent RFIs.</x:v>
      </x:c>
      <x:c r="B2" s="207"/>
      <x:c r="C2" s="207"/>
      <x:c r="D2" s="207"/>
      <x:c r="E2" s="207"/>
      <x:c r="F2" s="207"/>
      <x:c r="G2" s="207"/>
      <x:c r="H2" s="207"/>
      <x:c r="I2" s="207"/>
    </x:row>
    <x:row r="4" ht="30" customHeight="1">
      <x:c r="A4" s="209" t="str">
        <x:v>ID</x:v>
      </x:c>
      <x:c r="B4" s="209" t="str">
        <x:v>Source / institution</x:v>
      </x:c>
      <x:c r="C4" s="209" t="str">
        <x:v>Region</x:v>
      </x:c>
      <x:c r="D4" s="209" t="str">
        <x:v>Evidence date</x:v>
      </x:c>
      <x:c r="E4" s="209" t="str">
        <x:v>Status</x:v>
      </x:c>
      <x:c r="F4" s="209" t="str">
        <x:v>What is confirmed</x:v>
      </x:c>
      <x:c r="G4" s="209" t="str">
        <x:v>Next action</x:v>
      </x:c>
      <x:c r="H4" s="209" t="str">
        <x:v>Evidence / source</x:v>
      </x:c>
      <x:c r="I4" s="209" t="str">
        <x:v>Status date</x:v>
      </x:c>
    </x:row>
    <x:row r="5" ht="74" customHeight="1">
      <x:c r="A5" s="213" t="str">
        <x:v>INT-DE</x:v>
      </x:c>
      <x:c r="B5" s="213" t="str">
        <x:v>Osnabrück / WetLinks</x:v>
      </x:c>
      <x:c r="C5" s="213" t="str">
        <x:v>Germany</x:v>
      </x:c>
      <x:c r="D5" s="214" t="n">
        <x:v>46259</x:v>
      </x:c>
      <x:c r="E5" s="213" t="str">
        <x:v>Public links received</x:v>
      </x:c>
      <x:c r="F5" s="213" t="str">
        <x:v>Repository + latest dataset pointer; not evidence of completed file validation.</x:v>
      </x:c>
      <x:c r="G5" s="213" t="str">
        <x:v>Inspect files, variables, cadence, coverage, license and citation.</x:v>
      </x:c>
      <x:c r="H5" s="213" t="str">
        <x:v>International_Research_Data_POC_Register_2026-09-13_v04_SANSA_RFI_Sent.xlsx</x:v>
      </x:c>
      <x:c r="I5" s="214" t="n">
        <x:v>46278</x:v>
      </x:c>
    </x:row>
    <x:row r="6" ht="74" customHeight="1">
      <x:c r="A6" s="212" t="str">
        <x:v>INT-CA</x:v>
      </x:c>
      <x:c r="B6" s="212" t="str">
        <x:v>UVic / LENS</x:v>
      </x:c>
      <x:c r="C6" s="212" t="str">
        <x:v>Canada</x:v>
      </x:c>
      <x:c r="D6" s="215"/>
      <x:c r="E6" s="212" t="str">
        <x:v>Clarification pending; public repository located</x:v>
      </x:c>
      <x:c r="F6" s="212" t="str">
        <x:v>Prof. Pan engaged earlier. Public LENS repository found independently; applicable file selection still open.</x:v>
      </x:c>
      <x:c r="G6" s="212" t="str">
        <x:v>Inspect a documented sample; confirm citation, latency/loss conventions and availability derivation.</x:v>
      </x:c>
      <x:c r="H6" s="212" t="str">
        <x:v>https://github.com/clarkzjw/LENS</x:v>
      </x:c>
      <x:c r="I6" s="215" t="n">
        <x:v>46280</x:v>
      </x:c>
    </x:row>
    <x:row r="7" ht="74" customHeight="1">
      <x:c r="A7" s="213" t="str">
        <x:v>INT-AU</x:v>
      </x:c>
      <x:c r="B7" s="213" t="str">
        <x:v>ASWFC / Bureau</x:v>
      </x:c>
      <x:c r="C7" s="213" t="str">
        <x:v>Australia</x:v>
      </x:c>
      <x:c r="D7" s="214" t="n">
        <x:v>46278</x:v>
      </x:c>
      <x:c r="E7" s="213" t="str">
        <x:v>Public links received</x:v>
      </x:c>
      <x:c r="F7" s="213" t="str">
        <x:v>Eight archive/API/product links; environmental products and citation guidance.</x:v>
      </x:c>
      <x:c r="G7" s="213" t="str">
        <x:v>Clarify Australian K requirement; inspect fields/terms. Attribute X-ray data to its actual owner.</x:v>
      </x:c>
      <x:c r="H7" s="213" t="str">
        <x:v>https://mail.google.com/mail/#all/1a09cb781ddc837a</x:v>
      </x:c>
      <x:c r="I7" s="214" t="n">
        <x:v>46278</x:v>
      </x:c>
    </x:row>
    <x:row r="8" ht="74" customHeight="1">
      <x:c r="A8" s="212" t="str">
        <x:v>INT-ZA</x:v>
      </x:c>
      <x:c r="B8" s="212" t="str">
        <x:v>SANSA — Kate Niemantinga</x:v>
      </x:c>
      <x:c r="C8" s="212" t="str">
        <x:v>South Africa</x:v>
      </x:c>
      <x:c r="D8" s="215" t="n">
        <x:v>46279</x:v>
      </x:c>
      <x:c r="E8" s="212" t="str">
        <x:v>Public geomagnetic-data link received</x:v>
      </x:c>
      <x:c r="F8" s="212" t="str">
        <x:v>Research use free; HER acknowledgment supplied. No public direct satellite-link latency, packet-loss or service-availability datasets at SANSA.</x:v>
      </x:c>
      <x:c r="G8" s="212" t="str">
        <x:v>Inspect public files; specify datasets/date ranges if historical assistance is needed. Keep environmental inputs separate from network measurements.</x:v>
      </x:c>
      <x:c r="H8" s="212" t="str">
        <x:v>https://mail.google.com/mail/#all/1a09f75205d0f3f4</x:v>
      </x:c>
      <x:c r="I8" s="215" t="n">
        <x:v>46279</x:v>
      </x:c>
    </x:row>
    <x:row r="9" ht="90" customHeight="1">
      <x:c r="A9" s="213" t="str">
        <x:v>INT-JP</x:v>
      </x:c>
      <x:c r="B9" s="213" t="str">
        <x:v>NICT / Dr. Septi Perwitasari</x:v>
      </x:c>
      <x:c r="C9" s="213" t="str">
        <x:v>Japan</x:v>
      </x:c>
      <x:c r="D9" s="224" t="n">
        <x:v>46279</x:v>
      </x:c>
      <x:c r="E9" s="213" t="str">
        <x:v>Responded — clarification requested</x:v>
      </x:c>
      <x:c r="F9" s="213" t="str">
        <x:v>Ionospheric group reviewed the presentation and offers direction on ionosonde/TEC/other parameters once specified. No files or links supplied.</x:v>
      </x:c>
      <x:c r="G9" s="213" t="str">
        <x:v>Define product, historical period and sampling needs; request public sample/metadata and separate direct-network referral.</x:v>
      </x:c>
      <x:c r="H9" s="213" t="str">
        <x:v>User screenshots 1000717532.jpg, 1000717533.jpg, 1000717534.jpg; received date reported by Carlo: 14 Sep 2026. Thread: [iono 573].</x:v>
      </x:c>
      <x:c r="I9" s="224" t="n">
        <x:v>46279</x:v>
      </x:c>
    </x:row>
    <x:row r="10" ht="74" customHeight="1">
      <x:c r="A10" s="212" t="str">
        <x:v>INT-NL</x:v>
      </x:c>
      <x:c r="B10" s="212" t="str">
        <x:v>Twente / shared WetLinks</x:v>
      </x:c>
      <x:c r="C10" s="212" t="str">
        <x:v>Netherlands</x:v>
      </x:c>
      <x:c r="D10" s="215"/>
      <x:c r="E10" s="212" t="str">
        <x:v>Shared source coverage</x:v>
      </x:c>
      <x:c r="F10" s="212" t="str">
        <x:v>Covered by German WetLinks reply in existing register; not a separate Dutch response.</x:v>
      </x:c>
      <x:c r="G10" s="212" t="str">
        <x:v>No duplicate outreach unless a Twente-specific issue arises.</x:v>
      </x:c>
      <x:c r="H10" s="212" t="str">
        <x:v>International_Research_Data_POC_Register_2026-09-13_v04_SANSA_RFI_Sent.xlsx</x:v>
      </x:c>
      <x:c r="I10" s="215" t="n">
        <x:v>46278</x:v>
      </x:c>
    </x:row>
    <x:row r="11" ht="74" customHeight="1">
      <x:c r="A11" s="213" t="str">
        <x:v>DOM-NOAA</x:v>
      </x:c>
      <x:c r="B11" s="213" t="str">
        <x:v>NOAA / SWPC</x:v>
      </x:c>
      <x:c r="C11" s="213" t="str">
        <x:v>United States</x:v>
      </x:c>
      <x:c r="D11" s="214"/>
      <x:c r="E11" s="213" t="str">
        <x:v>Candidate reference</x:v>
      </x:c>
      <x:c r="F11" s="213" t="str">
        <x:v>Environmental index/event role identified; no new institutional reply claimed.</x:v>
      </x:c>
      <x:c r="G11" s="213" t="str">
        <x:v>Select exact records and define their scenario role.</x:v>
      </x:c>
      <x:c r="H11" s="213" t="str">
        <x:v>Nino_Carlo_Methodology - Praxis .pptx, slide 5</x:v>
      </x:c>
      <x:c r="I11" s="214" t="n">
        <x:v>46278</x:v>
      </x:c>
    </x:row>
    <x:row r="12" ht="74" customHeight="1">
      <x:c r="A12" s="212" t="str">
        <x:v>DOM-NASA</x:v>
      </x:c>
      <x:c r="B12" s="212" t="str">
        <x:v>NASA SCaN</x:v>
      </x:c>
      <x:c r="C12" s="212" t="str">
        <x:v>United States</x:v>
      </x:c>
      <x:c r="D12" s="215"/>
      <x:c r="E12" s="212" t="str">
        <x:v>Candidate reference</x:v>
      </x:c>
      <x:c r="F12" s="212" t="str">
        <x:v>Architecture assumptions, not direct measured network performance.</x:v>
      </x:c>
      <x:c r="G12" s="212" t="str">
        <x:v>Verify exact reference/version and trace derived assumptions.</x:v>
      </x:c>
      <x:c r="H12" s="212" t="str">
        <x:v>Nino_Carlo_Methodology - Praxis .pptx, slide 7</x:v>
      </x:c>
      <x:c r="I12" s="215" t="n">
        <x:v>46278</x:v>
      </x:c>
    </x:row>
    <x:row r="13" ht="74" customHeight="1">
      <x:c r="A13" s="213" t="str">
        <x:v>DOM-RAND</x:v>
      </x:c>
      <x:c r="B13" s="213" t="str">
        <x:v>RAND</x:v>
      </x:c>
      <x:c r="C13" s="213" t="str">
        <x:v>United States</x:v>
      </x:c>
      <x:c r="D13" s="214"/>
      <x:c r="E13" s="213" t="str">
        <x:v>Candidate reference</x:v>
      </x:c>
      <x:c r="F13" s="213" t="str">
        <x:v>Resilience concepts / measurement definitions, not operational observations.</x:v>
      </x:c>
      <x:c r="G13" s="213" t="str">
        <x:v>Confirm exact document and retain applicable concepts only.</x:v>
      </x:c>
      <x:c r="H13" s="213" t="str">
        <x:v>Nino_Carlo_Methodology - Praxis .pptx, slide 6</x:v>
      </x:c>
      <x:c r="I13" s="214" t="n">
        <x:v>46278</x:v>
      </x:c>
    </x:row>
    <x:row r="14" ht="74" customHeight="1">
      <x:c r="A14" s="212" t="str">
        <x:v>DOM-CT</x:v>
      </x:c>
      <x:c r="B14" s="212" t="str">
        <x:v>CelesTrak</x:v>
      </x:c>
      <x:c r="C14" s="212" t="str">
        <x:v>Public source</x:v>
      </x:c>
      <x:c r="D14" s="215"/>
      <x:c r="E14" s="212" t="str">
        <x:v>Candidate data source</x:v>
      </x:c>
      <x:c r="F14" s="212" t="str">
        <x:v>Orbital elements for access/visibility assumptions.</x:v>
      </x:c>
      <x:c r="G14" s="212" t="str">
        <x:v>Select objects/epoch and document units, freshness and processing.</x:v>
      </x:c>
      <x:c r="H14" s="212" t="str">
        <x:v>Nino_Carlo_Methodology - Praxis .pptx, slide 8</x:v>
      </x:c>
      <x:c r="I14" s="215" t="n">
        <x:v>46278</x:v>
      </x:c>
    </x:row>
    <x:row r="15" ht="112" customHeight="1">
      <x:c r="A15" s="93" t="str">
        <x:v>DOM-JPL</x:v>
      </x:c>
      <x:c r="B15" s="93" t="str">
        <x:v>NASA/JPL — Artificial Intelligence Group</x:v>
      </x:c>
      <x:c r="C15" s="93" t="str">
        <x:v>United States</x:v>
      </x:c>
      <x:c r="D15" s="235" t="n">
        <x:v>46280</x:v>
      </x:c>
      <x:c r="E15" s="93" t="str">
        <x:v>Published contact route; no response established</x:v>
      </x:c>
      <x:c r="F15" s="93" t="str">
        <x:v>Historical JPL ASE confirms onboard science analysis/planning/execution; no raw task logs supplied.</x:v>
      </x:c>
      <x:c r="G15" s="93" t="str">
        <x:v>Request public task/queue/planning logs. UVic learning schedulers are separate emulator research, not flight deployment.</x:v>
      </x:c>
      <x:c r="H15" s="93" t="str">
        <x:v>https://ai.jpl.nasa.gov/public/projects/ase/</x:v>
      </x:c>
      <x:c r="I15" s="235" t="n">
        <x:v>46280</x:v>
      </x:c>
    </x:row>
    <x:row r="16" ht="112" customHeight="1">
      <x:c r="A16" s="93" t="str">
        <x:v>DOM-NCEI-SW</x:v>
      </x:c>
      <x:c r="B16" s="93" t="str">
        <x:v>NOAA NCEI — Space Weather / Geophysics</x:v>
      </x:c>
      <x:c r="C16" s="93" t="str">
        <x:v>United States</x:v>
      </x:c>
      <x:c r="D16" s="235" t="n">
        <x:v>46280</x:v>
      </x:c>
      <x:c r="E16" s="344" t="str">
        <x:v>Responded — specific environmental products recommended</x:v>
      </x:c>
      <x:c r="F16" s="93" t="str">
        <x:v>Josh Riley confirms NCEI does not archive direct engineering satellite/ground-network performance records. Follow-up recommends GOES-R EXIS XRS/EUVS 1-minute products, GloTEC, ionosonde records, Space Weather Event Reports and SGAS for disturbance timing/context.</x:v>
      </x:c>
      <x:c r="G16" s="93" t="str">
        <x:v>Use EXIS/GloTEC/event reports as environmental/event-selection inputs. Pair them with separate LENS/WetLinks/RIPE/direct network traces for latency, uptime/downtime and recovery. Citation preference and engineering-data referral remain open.</x:v>
      </x:c>
      <x:c r="H16" s="93" t="str">
        <x:v>User screenshots 1000717650.jpg /1000717651.jpg and 1000717713.jpg /1000717714.jpg; NAC 1a0a6ae18989d6e7 contains original request only. https://www.ncei.noaa.gov/products/goes-r-extreme-ultraviolet-xray-irradiance</x:v>
      </x:c>
      <x:c r="I16" s="235" t="str">
        <x:v>2026-09-15</x:v>
      </x:c>
    </x:row>
    <x:row r="17" ht="112" customHeight="1">
      <x:c r="A17" s="93" t="str">
        <x:v>DOM-NCEI-WX</x:v>
      </x:c>
      <x:c r="B17" s="93" t="str">
        <x:v>NOAA NCEI — Climate / Past Weather</x:v>
      </x:c>
      <x:c r="C17" s="93" t="str">
        <x:v>United States</x:v>
      </x:c>
      <x:c r="D17" s="235" t="n">
        <x:v>46280</x:v>
      </x:c>
      <x:c r="E17" s="93" t="str">
        <x:v>Published contact route; no response established</x:v>
      </x:c>
      <x:c r="F17" s="93" t="str">
        <x:v>Ground-site environmental observations; communications-impact referral.</x:v>
      </x:c>
      <x:c r="G17" s="93" t="str">
        <x:v>Timestamped rain, wind, temperature, humidity, visibility, cloud and station metadata for selected ground sites. Explicitly ask for associated latency, packet loss, throughput, outages/downtime/recovery if held, otherwise a data-owner referral.</x:v>
      </x:c>
      <x:c r="H17" s="93" t="str">
        <x:v>https://www.ncei.noaa.gov/contact</x:v>
      </x:c>
      <x:c r="I17" s="235" t="n">
        <x:v>46280</x:v>
      </x:c>
    </x:row>
    <x:row r="18" ht="112" customHeight="1">
      <x:c r="A18" s="93" t="str">
        <x:v>DOM-AFRL</x:v>
      </x:c>
      <x:c r="B18" s="93" t="str">
        <x:v>AFRL / Boston College — SCINDA</x:v>
      </x:c>
      <x:c r="C18" s="93" t="str">
        <x:v>United States</x:v>
      </x:c>
      <x:c r="D18" s="235" t="n">
        <x:v>46280</x:v>
      </x:c>
      <x:c r="E18" s="93" t="str">
        <x:v>Published contact route; no response established</x:v>
      </x:c>
      <x:c r="F18" s="93" t="str">
        <x:v>Ionospheric/scintillation data; public-release determination and routing only.</x:v>
      </x:c>
      <x:c r="G18" s="93" t="str">
        <x:v>Request a publicly releasable, non-CUI historical subset or public equivalent, source-specific citation/licence and custodian referral. Ask whether any release includes correlated latency, downtime/recovery, loss or availability measurements; do not presume so.</x:v>
      </x:c>
      <x:c r="H18" s="93" t="str">
        <x:v>https://scinda.bc.edu/</x:v>
      </x:c>
      <x:c r="I18" s="235" t="n">
        <x:v>46280</x:v>
      </x:c>
    </x:row>
    <x:row r="19">
      <x:c r="A19" t="str">
        <x:v>NET-01</x:v>
      </x:c>
      <x:c r="B19" t="str">
        <x:v>Measurement Lab (M-Lab) — NDT / BigQuery</x:v>
      </x:c>
      <x:c r="C19" t="str">
        <x:v>Global / United States</x:v>
      </x:c>
      <x:c r="D19" t="str">
        <x:v>2026-09-22</x:v>
      </x:c>
      <x:c r="E19" t="str">
        <x:v>RESPONDED — NDT/BigQuery confirmed</x:v>
      </x:c>
      <x:c r="F19" t="str">
        <x:v>Nathan confirms NDT contains the requested network-performance information. Server and client ASNs are available for filtering. No separate M-Lab dataset directly labels outages.</x:v>
      </x:c>
      <x:c r="G19" t="str">
        <x:v>Query Starlink AS14593 in BigQuery for a bounded interval; inspect/export the measured performance fields and citation metadata. Keep any outage inference explicitly derived and separate from observed measurements.</x:v>
      </x:c>
      <x:c r="H19" t="str">
        <x:v>Provider email supplied by Carlo, 22 Sep 2026; https://www.measurementlab.net/tests/ndt/ ; https://www.measurementlab.net/data/docs/bq/quickstart/</x:v>
      </x:c>
      <x:c r="I19" t="str">
        <x:v>2026-09-22</x:v>
      </x:c>
    </x:row>
    <x:row r="20">
      <x:c r="A20" t="str">
        <x:v>INT-AR-PAT</x:v>
      </x:c>
      <x:c r="B20" t="str">
        <x:v>Instituto Balseiro / CNEA — Dr. Pablo Costanzo Caso</x:v>
      </x:c>
      <x:c r="C20" t="str">
        <x:v>Argentina / Patagonia</x:v>
      </x:c>
      <x:c r="D20" t="str">
        <x:v>2026-09-22</x:v>
      </x:c>
      <x:c r="E20" t="str">
        <x:v>RESPONDED — no current dataset; future funded collaboration possible</x:v>
      </x:c>
      <x:c r="F20" t="str">
        <x:v>Pablo states the requested measurements are not currently available. Their VHF/UHF ground station was operated for more than 3 years, then dismantled because of funding constraints. He is willing to collaborate on a funded project and collect new Patagonia measurements.</x:v>
      </x:c>
      <x:c r="G20" t="str">
        <x:v>Do not treat as a current data source. If a future funding path exists, define exact requested fields and measurement design before considering a collection campaign.</x:v>
      </x:c>
      <x:c r="H20" t="str">
        <x:v>Provider email supplied by Carlo, 22 Sep 2026</x:v>
      </x:c>
      <x:c r="I20" t="str">
        <x:v>2026-09-22</x:v>
      </x:c>
    </x:row>
    <x:row r="21">
      <x:c r="A21" t="str">
        <x:v>INT-AU-ACCC</x:v>
      </x:c>
      <x:c r="B21" t="str">
        <x:v>ACCC — Measuring Broadband Australia</x:v>
      </x:c>
      <x:c r="C21" t="str">
        <x:v>Australia</x:v>
      </x:c>
      <x:c r="D21" t="str">
        <x:v>2026-09-23</x:v>
      </x:c>
      <x:c r="E21" t="str">
        <x:v>RESPONDED — historical public data route confirmed</x:v>
      </x:c>
      <x:c r="F21" t="str">
        <x:v>Broadband Performance Team confirms a more fulsome set of MBA performance data is publicly released on data.gov.au in addition to report aggregates. No special conditions are required for research use; appropriate attribution is requested.</x:v>
      </x:c>
      <x:c r="G21" t="str">
        <x:v>Search 'Measuring Broadband Australia' on data.gov.au, download a Starlink-containing release, inspect numerical fields/granularity and citation details. Treat as historical/static because the program ended Jun 2026.</x:v>
      </x:c>
      <x:c r="H21" t="str">
        <x:v>Provider email supplied by Carlo, 23 Sep 2026; https://data.gov.au/</x:v>
      </x:c>
      <x:c r="I21" t="str">
        <x:v>2026-09-23</x:v>
      </x:c>
    </x:row>
  </x:sheetData>
  <x:mergeCells>
    <x:mergeCell ref="A1:I1"/>
    <x:mergeCell ref="A2:I2"/>
  </x:mergeCells>
  <x:dataValidations count="1">
    <x:dataValidation type="list" sqref="E5:E14">
      <x:formula1>"Public links received,Clarification sent,Targeted RFI sent,Follow-up sent,Shared source coverage,Candidate reference,Candidate data source,File inspected,Adopted,Not suitable"</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0" hidden="0" customWidth="1"/>
    <x:col min="4" max="4" width="14" hidden="0" customWidth="1"/>
    <x:col min="5" max="5" width="40" hidden="0" customWidth="1"/>
    <x:col min="6" max="6" width="17" hidden="0" customWidth="1"/>
    <x:col min="7" max="7" width="37" hidden="0" customWidth="1"/>
    <x:col min="8" max="8" width="38" hidden="0" customWidth="1"/>
  </x:cols>
  <x:sheetData>
    <x:row r="1" ht="30" customHeight="1">
      <x:c r="A1" s="204" t="str">
        <x:v>ADVISOR FEEDBACK / RESPONSE LOG</x:v>
      </x:c>
      <x:c r="B1" s="204"/>
      <x:c r="C1" s="204"/>
      <x:c r="D1" s="204"/>
      <x:c r="E1" s="204"/>
      <x:c r="F1" s="204"/>
      <x:c r="G1" s="204"/>
      <x:c r="H1" s="204"/>
    </x:row>
    <x:row r="2" ht="32" customHeight="1">
      <x:c r="A2" s="207" t="str">
        <x:v>Yellow is the normal working grade. Red text identifies Dr. Hao's words; it is not a severity signal.</x:v>
      </x:c>
      <x:c r="B2" s="207"/>
      <x:c r="C2" s="207"/>
      <x:c r="D2" s="207"/>
      <x:c r="E2" s="207"/>
      <x:c r="F2" s="207"/>
      <x:c r="G2" s="207"/>
      <x:c r="H2" s="207"/>
    </x:row>
    <x:row r="4" ht="30" customHeight="1">
      <x:c r="A4" s="209" t="str">
        <x:v>ID</x:v>
      </x:c>
      <x:c r="B4" s="209" t="str">
        <x:v>Feedback date</x:v>
      </x:c>
      <x:c r="C4" s="209" t="str">
        <x:v>Advisor feedback — exact words</x:v>
      </x:c>
      <x:c r="D4" s="209" t="str">
        <x:v>Response date</x:v>
      </x:c>
      <x:c r="E4" s="209" t="str">
        <x:v>Response / current action</x:v>
      </x:c>
      <x:c r="F4" s="209" t="str">
        <x:v>Status</x:v>
      </x:c>
      <x:c r="G4" s="209" t="str">
        <x:v>Closure evidence still needed</x:v>
      </x:c>
      <x:c r="H4" s="209" t="str">
        <x:v>Source</x:v>
      </x:c>
    </x:row>
    <x:row r="5" ht="112" customHeight="1">
      <x:c r="A5" s="213" t="str">
        <x:v>F01</x:v>
      </x:c>
      <x:c r="B5" s="214" t="n">
        <x:v>46271</x:v>
      </x:c>
      <x:c r="C5" s="216" t="str">
        <x:v>Need to think about how to focus the many pieces of this research into something actionable and appropriate. There are lots of moving parts in this research and we need to start consolidating.</x:v>
      </x:c>
      <x:c r="D5" s="214" t="n">
        <x:v>46278</x:v>
      </x:c>
      <x:c r="E5" s="218" t="str">
        <x:v>The working scope now compares ground-centric and bounded orbital-edge processing under matched degradation. Core measures: uptime, downtime, latency, and queueing delay.</x:v>
      </x:c>
      <x:c r="F5" s="213" t="str">
        <x:v>In progress</x:v>
      </x:c>
      <x:c r="G5" s="213" t="str">
        <x:v>Document the bounded scope and obtain advisor feedback.</x:v>
      </x:c>
      <x:c r="H5" s="213" t="str">
        <x:v>ResearchReport -- Carlo Nino-Sep 06, 2026.pdf, p. 1 (Hanson Hao)</x:v>
      </x:c>
    </x:row>
    <x:row r="6" ht="112" customHeight="1">
      <x:c r="A6" s="212" t="str">
        <x:v>F02</x:v>
      </x:c>
      <x:c r="B6" s="215" t="n">
        <x:v>46271</x:v>
      </x:c>
      <x:c r="C6" s="217" t="str">
        <x:v>Start utilizing the literature review to narrow down methodology between discrete event simulation and system dynamic simulation.</x:v>
      </x:c>
      <x:c r="D6" s="215" t="n">
        <x:v>46278</x:v>
      </x:c>
      <x:c r="E6" s="219" t="str">
        <x:v>DES is the working methodology. Literature is screened for event, queue, failure, and recovery fit; the written selection rationale is still being developed.</x:v>
      </x:c>
      <x:c r="F6" s="212" t="str">
        <x:v>In progress</x:v>
      </x:c>
      <x:c r="G6" s="212" t="str">
        <x:v>Complete source-supported DES selection rationale; revise the working methodology map separately.</x:v>
      </x:c>
      <x:c r="H6" s="212" t="str">
        <x:v>ResearchReport -- Carlo Nino-Sep 06, 2026.pdf, p. 1 (Hanson Hao)</x:v>
      </x:c>
    </x:row>
    <x:row r="7" ht="112" customHeight="1">
      <x:c r="A7" s="213" t="str">
        <x:v>F03</x:v>
      </x:c>
      <x:c r="B7" s="214" t="n">
        <x:v>46271</x:v>
      </x:c>
      <x:c r="C7" s="216" t="str">
        <x:v>Need to lock in data sources soon. Make sure all data from external institutions are for public release and available to the public (github, dropbox, etc.).</x:v>
      </x:c>
      <x:c r="D7" s="224" t="n">
        <x:v>46279</x:v>
      </x:c>
      <x:c r="E7" s="218" t="str">
        <x:v>Germany, Australia and SANSA supplied public links. Japan’s NICT group has now reviewed the presentation and requested ionosonde/TEC specifics. Canada file clarification and exact file/field/reuse checks remain open; research-data selection is not closed.</x:v>
      </x:c>
      <x:c r="F7" s="213" t="str">
        <x:v>In progress</x:v>
      </x:c>
      <x:c r="G7" s="213" t="str">
        <x:v>Identify and inspect exact public files, fields, units, timestamps, quality flags and usage terms. Clarify NICT product/time range; do not treat environmental observations as direct latency/uptime data.</x:v>
      </x:c>
      <x:c r="H7" s="213" t="str">
        <x:v>ResearchReport -- Carlo Nino-Sep 06, 2026.pdf, p. 1 (Hanson Hao)</x:v>
      </x:c>
    </x:row>
    <x:row r="9" ht="40" customHeight="1">
      <x:c r="A9" s="221" t="str">
        <x:v>Other feedback: prepared slide deck and organized references; external public-data outreach praised. No unresolved prior feedback, attendance, or behavior flag in the 06 Sep report.</x:v>
      </x:c>
      <x:c r="B9" s="221"/>
      <x:c r="C9" s="221"/>
      <x:c r="D9" s="221"/>
      <x:c r="E9" s="221"/>
      <x:c r="F9" s="221"/>
      <x:c r="G9" s="221"/>
      <x:c r="H9" s="221"/>
    </x:row>
  </x:sheetData>
  <x:mergeCells>
    <x:mergeCell ref="A1:H1"/>
    <x:mergeCell ref="A2:H2"/>
    <x:mergeCell ref="A9:H9"/>
  </x:mergeCell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14" hidden="0" customWidth="1"/>
    <x:col min="3" max="3" width="9" hidden="0" customWidth="1"/>
    <x:col min="4" max="4" width="12" hidden="0" customWidth="1"/>
    <x:col min="5" max="5" width="40" hidden="0" customWidth="1"/>
    <x:col min="6" max="6" width="35" hidden="0" customWidth="1"/>
    <x:col min="7" max="7" width="23" hidden="0" customWidth="1"/>
  </x:cols>
  <x:sheetData>
    <x:row r="1" ht="30" customHeight="1">
      <x:c r="A1" s="204" t="str">
        <x:v>SLIDE UPDATE AUDIT TRAIL</x:v>
      </x:c>
      <x:c r="B1" s="204"/>
      <x:c r="C1" s="204"/>
      <x:c r="D1" s="204"/>
      <x:c r="E1" s="204"/>
      <x:c r="F1" s="204"/>
      <x:c r="G1" s="204"/>
    </x:row>
    <x:row r="2" ht="32" customHeight="1">
      <x:c r="A2" s="207" t="str">
        <x:v>Append new evidence once. Never change protected slides. Planned work remains planned.</x:v>
      </x:c>
      <x:c r="B2" s="207"/>
      <x:c r="C2" s="207"/>
      <x:c r="D2" s="207"/>
      <x:c r="E2" s="207"/>
      <x:c r="F2" s="207"/>
      <x:c r="G2" s="207"/>
    </x:row>
    <x:row r="4" ht="30" customHeight="1">
      <x:c r="A4" s="209" t="str">
        <x:v>Update ID</x:v>
      </x:c>
      <x:c r="B4" s="209" t="str">
        <x:v>Recorded date</x:v>
      </x:c>
      <x:c r="C4" s="209" t="str">
        <x:v>Slide</x:v>
      </x:c>
      <x:c r="D4" s="209" t="str">
        <x:v>Text owner</x:v>
      </x:c>
      <x:c r="E4" s="209" t="str">
        <x:v>Dated slide text</x:v>
      </x:c>
      <x:c r="F4" s="209" t="str">
        <x:v>Provenance</x:v>
      </x:c>
      <x:c r="G4" s="209" t="str">
        <x:v>Action</x:v>
      </x:c>
    </x:row>
    <x:row r="5" ht="68" customHeight="1">
      <x:c r="A5" s="213" t="str">
        <x:v>20260913-S2-01</x:v>
      </x:c>
      <x:c r="B5" s="214" t="n">
        <x:v>46278</x:v>
      </x:c>
      <x:c r="C5" s="213" t="n">
        <x:v>2</x:v>
      </x:c>
      <x:c r="D5" s="213" t="str">
        <x:v>Advisor</x:v>
      </x:c>
      <x:c r="E5" s="213" t="str">
        <x:v>Need to think about how to focus the many pieces of this research into something actionable and appropriate. There are lots of moving parts in this research and we need to start consolidating. [06 Sep 2026]</x:v>
      </x:c>
      <x:c r="F5" s="213" t="str">
        <x:v>ResearchReport -- Carlo Nino-Sep 06, 2026.pdf, p. 1 (Hanson Hao)</x:v>
      </x:c>
      <x:c r="G5" s="213" t="str">
        <x:v>Baseline populated</x:v>
      </x:c>
    </x:row>
    <x:row r="6" ht="68" customHeight="1">
      <x:c r="A6" s="212" t="str">
        <x:v>20260913-S2-02</x:v>
      </x:c>
      <x:c r="B6" s="215" t="n">
        <x:v>46278</x:v>
      </x:c>
      <x:c r="C6" s="212" t="n">
        <x:v>2</x:v>
      </x:c>
      <x:c r="D6" s="212" t="str">
        <x:v>Update</x:v>
      </x:c>
      <x:c r="E6" s="212" t="str">
        <x:v>The working scope now compares ground-centric and bounded orbital-edge processing under matched degradation. Core measures: uptime, downtime, latency, and queueing delay. [13 Sep 2026]</x:v>
      </x:c>
      <x:c r="F6" s="212" t="str">
        <x:v>Sources recorded in Source Status / Advisor Feedback</x:v>
      </x:c>
      <x:c r="G6" s="212" t="str">
        <x:v>Baseline populated</x:v>
      </x:c>
    </x:row>
    <x:row r="7" ht="68" customHeight="1">
      <x:c r="A7" s="213" t="str">
        <x:v>20260913-S2-03</x:v>
      </x:c>
      <x:c r="B7" s="214" t="n">
        <x:v>46278</x:v>
      </x:c>
      <x:c r="C7" s="213" t="n">
        <x:v>2</x:v>
      </x:c>
      <x:c r="D7" s="213" t="str">
        <x:v>Advisor</x:v>
      </x:c>
      <x:c r="E7" s="213" t="str">
        <x:v>Start utilizing the literature review to narrow down methodology between discrete event simulation and system dynamic simulation. [06 Sep 2026]</x:v>
      </x:c>
      <x:c r="F7" s="213" t="str">
        <x:v>ResearchReport -- Carlo Nino-Sep 06, 2026.pdf, p. 1 (Hanson Hao)</x:v>
      </x:c>
      <x:c r="G7" s="213" t="str">
        <x:v>Baseline populated</x:v>
      </x:c>
    </x:row>
    <x:row r="8" ht="68" customHeight="1">
      <x:c r="A8" s="212" t="str">
        <x:v>20260913-S2-04</x:v>
      </x:c>
      <x:c r="B8" s="215" t="n">
        <x:v>46278</x:v>
      </x:c>
      <x:c r="C8" s="212" t="n">
        <x:v>2</x:v>
      </x:c>
      <x:c r="D8" s="212" t="str">
        <x:v>Update</x:v>
      </x:c>
      <x:c r="E8" s="212" t="str">
        <x:v>DES is the working methodology. Literature is screened for event, queue, failure, and recovery fit; the written selection rationale is still being developed. [13 Sep 2026]</x:v>
      </x:c>
      <x:c r="F8" s="212" t="str">
        <x:v>Sources recorded in Source Status / Advisor Feedback</x:v>
      </x:c>
      <x:c r="G8" s="212" t="str">
        <x:v>Baseline populated</x:v>
      </x:c>
    </x:row>
    <x:row r="9" ht="68" customHeight="1">
      <x:c r="A9" s="213" t="str">
        <x:v>20260913-S2-05</x:v>
      </x:c>
      <x:c r="B9" s="214" t="n">
        <x:v>46278</x:v>
      </x:c>
      <x:c r="C9" s="213" t="n">
        <x:v>2</x:v>
      </x:c>
      <x:c r="D9" s="213" t="str">
        <x:v>Advisor</x:v>
      </x:c>
      <x:c r="E9" s="213" t="str">
        <x:v>Need to lock in data sources soon. Make sure all data from external institutions are for public release and available to the public (github, dropbox, etc.). [06 Sep 2026]</x:v>
      </x:c>
      <x:c r="F9" s="213" t="str">
        <x:v>ResearchReport -- Carlo Nino-Sep 06, 2026.pdf, p. 1 (Hanson Hao)</x:v>
      </x:c>
      <x:c r="G9" s="213" t="str">
        <x:v>Baseline populated</x:v>
      </x:c>
    </x:row>
    <x:row r="10" ht="68" customHeight="1">
      <x:c r="A10" s="212" t="str">
        <x:v>20260913-S2-06</x:v>
      </x:c>
      <x:c r="B10" s="215" t="n">
        <x:v>46278</x:v>
      </x:c>
      <x:c r="C10" s="212" t="n">
        <x:v>2</x:v>
      </x:c>
      <x:c r="D10" s="212" t="str">
        <x:v>Update</x:v>
      </x:c>
      <x:c r="E10" s="212" t="str">
        <x:v>Germany and Australia supplied public links. Replies to the Canada clarification and targeted SANSA RFI are pending. File, variable, and reuse checks remain open. [13 Sep 2026]</x:v>
      </x:c>
      <x:c r="F10" s="212" t="str">
        <x:v>Sources recorded in Source Status / Advisor Feedback</x:v>
      </x:c>
      <x:c r="G10" s="212" t="str">
        <x:v>Baseline populated</x:v>
      </x:c>
    </x:row>
    <x:row r="11" ht="68" customHeight="1">
      <x:c r="A11" s="213" t="str">
        <x:v>20260913-S3-01</x:v>
      </x:c>
      <x:c r="B11" s="214" t="n">
        <x:v>46278</x:v>
      </x:c>
      <x:c r="C11" s="213" t="n">
        <x:v>3</x:v>
      </x:c>
      <x:c r="D11" s="213" t="str">
        <x:v>Update</x:v>
      </x:c>
      <x:c r="E11" s="213" t="str">
        <x:v>DES: Selected as the working methodology; the comparison now centers on uptime, downtime, latency, and queueing delay. [13 Sep 2026]</x:v>
      </x:c>
      <x:c r="F11" s="213" t="str">
        <x:v>Sources recorded in Source Status / Advisor Feedback</x:v>
      </x:c>
      <x:c r="G11" s="213" t="str">
        <x:v>Baseline populated</x:v>
      </x:c>
    </x:row>
    <x:row r="12" ht="68" customHeight="1">
      <x:c r="A12" s="212" t="str">
        <x:v>20260913-S3-02</x:v>
      </x:c>
      <x:c r="B12" s="215" t="n">
        <x:v>46278</x:v>
      </x:c>
      <x:c r="C12" s="212" t="n">
        <x:v>3</x:v>
      </x:c>
      <x:c r="D12" s="212" t="str">
        <x:v>Update</x:v>
      </x:c>
      <x:c r="E12" s="212" t="str">
        <x:v>Literature: 31 unique sources in the register. Method, metric, and tool/data/V&amp;V fit account for 60 of 100 selection points. [13 Sep 2026]</x:v>
      </x:c>
      <x:c r="F12" s="212" t="str">
        <x:v>Sources recorded in Source Status / Advisor Feedback</x:v>
      </x:c>
      <x:c r="G12" s="212" t="str">
        <x:v>Baseline populated</x:v>
      </x:c>
    </x:row>
    <x:row r="13" ht="68" customHeight="1">
      <x:c r="A13" s="213" t="str">
        <x:v>20260913-S3-03</x:v>
      </x:c>
      <x:c r="B13" s="214" t="n">
        <x:v>46278</x:v>
      </x:c>
      <x:c r="C13" s="213" t="n">
        <x:v>3</x:v>
      </x:c>
      <x:c r="D13" s="213" t="str">
        <x:v>Update</x:v>
      </x:c>
      <x:c r="E13" s="213" t="str">
        <x:v>Germany — Osnabrück / WetLinks: Public repository and dataset links received from Prof. Nils Aschenbruck; exact file screening remains open. [25 Aug; status 13 Sep 2026]</x:v>
      </x:c>
      <x:c r="F13" s="213" t="str">
        <x:v>Sources recorded in Source Status / Advisor Feedback</x:v>
      </x:c>
      <x:c r="G13" s="213" t="str">
        <x:v>Baseline populated</x:v>
      </x:c>
    </x:row>
    <x:row r="14" ht="68" customHeight="1">
      <x:c r="A14" s="212" t="str">
        <x:v>20260913-S3-04</x:v>
      </x:c>
      <x:c r="B14" s="215" t="n">
        <x:v>46278</x:v>
      </x:c>
      <x:c r="C14" s="212" t="n">
        <x:v>3</x:v>
      </x:c>
      <x:c r="D14" s="212" t="str">
        <x:v>Update</x:v>
      </x:c>
      <x:c r="E14" s="212" t="str">
        <x:v>Canada — UVic / LENS: Prof. Jianping Pan requested clarification; measurement requirements supplied; applicable files/variables not yet confirmed. [Status 13 Sep 2026]</x:v>
      </x:c>
      <x:c r="F14" s="212" t="str">
        <x:v>Sources recorded in Source Status / Advisor Feedback</x:v>
      </x:c>
      <x:c r="G14" s="212" t="str">
        <x:v>Baseline populated</x:v>
      </x:c>
    </x:row>
    <x:row r="15" ht="68" customHeight="1">
      <x:c r="A15" s="213" t="str">
        <x:v>20260913-S3-05</x:v>
      </x:c>
      <x:c r="B15" s="214" t="n">
        <x:v>46278</x:v>
      </x:c>
      <x:c r="C15" s="213" t="n">
        <x:v>3</x:v>
      </x:c>
      <x:c r="D15" s="213" t="str">
        <x:v>Update</x:v>
      </x:c>
      <x:c r="E15" s="213" t="str">
        <x:v>Australia — ASWFC: Cassie Marshall supplied eight archive/API/product links and citation guidance. Environmental products remain separate from network-performance traces. [13 Sep 2026]</x:v>
      </x:c>
      <x:c r="F15" s="213" t="str">
        <x:v>Sources recorded in Source Status / Advisor Feedback</x:v>
      </x:c>
      <x:c r="G15" s="213" t="str">
        <x:v>Baseline populated</x:v>
      </x:c>
    </x:row>
    <x:row r="16" ht="68" customHeight="1">
      <x:c r="A16" s="212" t="str">
        <x:v>20260913-S3-06</x:v>
      </x:c>
      <x:c r="B16" s="215" t="n">
        <x:v>46278</x:v>
      </x:c>
      <x:c r="C16" s="212" t="n">
        <x:v>3</x:v>
      </x:c>
      <x:c r="D16" s="212" t="str">
        <x:v>Update</x:v>
      </x:c>
      <x:c r="E16" s="212" t="str">
        <x:v>South Africa — SANSA: Automatic reply identified Dr. Mpho Tshisaphungo. Targeted RFI sent, explicitly requesting measured communications impacts and naming DES uptime/downtime/latency. [13 Sep 2026]</x:v>
      </x:c>
      <x:c r="F16" s="212" t="str">
        <x:v>Sources recorded in Source Status / Advisor Feedback</x:v>
      </x:c>
      <x:c r="G16" s="212" t="str">
        <x:v>Baseline populated</x:v>
      </x:c>
    </x:row>
    <x:row r="17" ht="68" customHeight="1">
      <x:c r="A17" s="213" t="str">
        <x:v>20260913-S3-07</x:v>
      </x:c>
      <x:c r="B17" s="214" t="n">
        <x:v>46278</x:v>
      </x:c>
      <x:c r="C17" s="213" t="n">
        <x:v>3</x:v>
      </x:c>
      <x:c r="D17" s="213" t="str">
        <x:v>Update</x:v>
      </x:c>
      <x:c r="E17" s="213" t="str">
        <x:v>Japan: Follow-up sent; substantive response pending. Domestic source roles remain NOAA—environment, NASA SCaN—architecture, RAND—metrics, CelesTrak—orbits. [Status 13 Sep 2026]</x:v>
      </x:c>
      <x:c r="F17" s="213" t="str">
        <x:v>Sources recorded in Source Status / Advisor Feedback</x:v>
      </x:c>
      <x:c r="G17" s="213" t="str">
        <x:v>Baseline populated</x:v>
      </x:c>
    </x:row>
    <x:row r="18" ht="68" customHeight="1">
      <x:c r="A18" s="212" t="str">
        <x:v>20260913-S4-01</x:v>
      </x:c>
      <x:c r="B18" s="215" t="n">
        <x:v>46278</x:v>
      </x:c>
      <x:c r="C18" s="212" t="n">
        <x:v>4</x:v>
      </x:c>
      <x:c r="D18" s="212" t="str">
        <x:v>Update</x:v>
      </x:c>
      <x:c r="E18" s="212" t="str">
        <x:v>Data selection is not closed: public links have been received, but usable files, variables, coverage, and reuse terms still require inspection. [13 Sep 2026]</x:v>
      </x:c>
      <x:c r="F18" s="212" t="str">
        <x:v>Sources recorded in Source Status / Advisor Feedback</x:v>
      </x:c>
      <x:c r="G18" s="212" t="str">
        <x:v>Baseline populated</x:v>
      </x:c>
    </x:row>
    <x:row r="19" ht="68" customHeight="1">
      <x:c r="A19" s="213" t="str">
        <x:v>20260913-S4-02</x:v>
      </x:c>
      <x:c r="B19" s="214" t="n">
        <x:v>46278</x:v>
      </x:c>
      <x:c r="C19" s="213" t="n">
        <x:v>4</x:v>
      </x:c>
      <x:c r="D19" s="213" t="str">
        <x:v>Update</x:v>
      </x:c>
      <x:c r="E19" s="213" t="str">
        <x:v>Latency, uptime/downtime, and queueing fields are not confirmed across every source. Not mentioned in a reply means unconfirmed, not unavailable. [13 Sep 2026]</x:v>
      </x:c>
      <x:c r="F19" s="213" t="str">
        <x:v>Sources recorded in Source Status / Advisor Feedback</x:v>
      </x:c>
      <x:c r="G19" s="213" t="str">
        <x:v>Baseline populated</x:v>
      </x:c>
    </x:row>
    <x:row r="20" ht="68" customHeight="1">
      <x:c r="A20" s="212" t="str">
        <x:v>20260913-S4-03</x:v>
      </x:c>
      <x:c r="B20" s="215" t="n">
        <x:v>46278</x:v>
      </x:c>
      <x:c r="C20" s="212" t="n">
        <x:v>4</x:v>
      </x:c>
      <x:c r="D20" s="212" t="str">
        <x:v>Update</x:v>
      </x:c>
      <x:c r="E20" s="212" t="str">
        <x:v>Environmental and HF observations are not direct satellite-network performance measurements. Their role in degradation scenarios must be documented. [13 Sep 2026]</x:v>
      </x:c>
      <x:c r="F20" s="212" t="str">
        <x:v>Sources recorded in Source Status / Advisor Feedback</x:v>
      </x:c>
      <x:c r="G20" s="212" t="str">
        <x:v>Baseline populated</x:v>
      </x:c>
    </x:row>
    <x:row r="21" ht="68" customHeight="1">
      <x:c r="A21" s="213" t="str">
        <x:v>20260913-S4-04</x:v>
      </x:c>
      <x:c r="B21" s="214" t="n">
        <x:v>46278</x:v>
      </x:c>
      <x:c r="C21" s="213" t="n">
        <x:v>4</x:v>
      </x:c>
      <x:c r="D21" s="213" t="str">
        <x:v>Update</x:v>
      </x:c>
      <x:c r="E21" s="213" t="str">
        <x:v>Common units, timestamps/cadence, missing-data treatment, service/outage definitions, and the validation baseline remain open decisions. [13 Sep 2026]</x:v>
      </x:c>
      <x:c r="F21" s="213" t="str">
        <x:v>Sources recorded in Source Status / Advisor Feedback</x:v>
      </x:c>
      <x:c r="G21" s="213" t="str">
        <x:v>Baseline populated</x:v>
      </x:c>
    </x:row>
    <x:row r="22" ht="68" customHeight="1">
      <x:c r="A22" s="212" t="str">
        <x:v>20260913-S4-05</x:v>
      </x:c>
      <x:c r="B22" s="215" t="n">
        <x:v>46278</x:v>
      </x:c>
      <x:c r="C22" s="212" t="n">
        <x:v>4</x:v>
      </x:c>
      <x:c r="D22" s="212" t="str">
        <x:v>Update</x:v>
      </x:c>
      <x:c r="E22" s="212" t="str">
        <x:v>Canada and SANSA technical responses remain pending; no completed DES runs or validation results are claimed in this update. [13 Sep 2026]</x:v>
      </x:c>
      <x:c r="F22" s="212" t="str">
        <x:v>Sources recorded in Source Status / Advisor Feedback</x:v>
      </x:c>
      <x:c r="G22" s="212" t="str">
        <x:v>Baseline populated</x:v>
      </x:c>
    </x:row>
    <x:row r="23" ht="68" customHeight="1">
      <x:c r="A23" s="213" t="str">
        <x:v>20260913-S5-01</x:v>
      </x:c>
      <x:c r="B23" s="214" t="n">
        <x:v>46278</x:v>
      </x:c>
      <x:c r="C23" s="213" t="n">
        <x:v>5</x:v>
      </x:c>
      <x:c r="D23" s="213" t="str">
        <x:v>Update</x:v>
      </x:c>
      <x:c r="E23" s="213" t="str">
        <x:v>Finalize the candidate source list with exact files/links, variables and units, time coverage, cadence, quality flags, access status, citation terms, and DES role. [Planned; added 13 Sep 2026]</x:v>
      </x:c>
      <x:c r="F23" s="213" t="str">
        <x:v>Sources recorded in Source Status / Advisor Feedback</x:v>
      </x:c>
      <x:c r="G23" s="213" t="str">
        <x:v>Baseline populated</x:v>
      </x:c>
    </x:row>
    <x:row r="24" ht="68" customHeight="1">
      <x:c r="A24" s="212" t="str">
        <x:v>20260913-S5-02</x:v>
      </x:c>
      <x:c r="B24" s="215" t="n">
        <x:v>46278</x:v>
      </x:c>
      <x:c r="C24" s="212" t="n">
        <x:v>5</x:v>
      </x:c>
      <x:c r="D24" s="212" t="str">
        <x:v>Update</x:v>
      </x:c>
      <x:c r="E24" s="212" t="str">
        <x:v>Inspect a small WetLinks sample. Screen LENS files when identified; do not count a response or public link as completed dataset adoption. [Planned; added 13 Sep 2026]</x:v>
      </x:c>
      <x:c r="F24" s="212" t="str">
        <x:v>Sources recorded in Source Status / Advisor Feedback</x:v>
      </x:c>
      <x:c r="G24" s="212" t="str">
        <x:v>Baseline populated</x:v>
      </x:c>
    </x:row>
    <x:row r="25" ht="68" customHeight="1">
      <x:c r="A25" s="213" t="str">
        <x:v>20260913-S5-03</x:v>
      </x:c>
      <x:c r="B25" s="214" t="n">
        <x:v>46278</x:v>
      </x:c>
      <x:c r="C25" s="213" t="n">
        <x:v>5</x:v>
      </x:c>
      <x:c r="D25" s="213" t="str">
        <x:v>Update</x:v>
      </x:c>
      <x:c r="E25" s="213" t="str">
        <x:v>Inspect the Australian archives, clarify the regional K-index request, and track Japan/SANSA replies. Keep environmental and direct network sources distinct. [Planned; added 13 Sep 2026]</x:v>
      </x:c>
      <x:c r="F25" s="213" t="str">
        <x:v>Sources recorded in Source Status / Advisor Feedback</x:v>
      </x:c>
      <x:c r="G25" s="213" t="str">
        <x:v>Baseline populated</x:v>
      </x:c>
    </x:row>
    <x:row r="26" ht="68" customHeight="1">
      <x:c r="A26" s="212" t="str">
        <x:v>20260913-S5-04</x:v>
      </x:c>
      <x:c r="B26" s="215" t="n">
        <x:v>46278</x:v>
      </x:c>
      <x:c r="C26" s="212" t="n">
        <x:v>5</x:v>
      </x:c>
      <x:c r="D26" s="212" t="str">
        <x:v>Update</x:v>
      </x:c>
      <x:c r="E26" s="212" t="str">
        <x:v>Document the literature-supported DES selection and define the four core measures. Identify a validation reference and a bounded first scenario. [Planned; added 13 Sep 2026]</x:v>
      </x:c>
      <x:c r="F26" s="212" t="str">
        <x:v>Sources recorded in Source Status / Advisor Feedback</x:v>
      </x:c>
      <x:c r="G26" s="212" t="str">
        <x:v>Baseline populated</x:v>
      </x:c>
    </x:row>
    <x:row r="27" ht="68" customHeight="1">
      <x:c r="A27" s="213" t="str">
        <x:v>20260913-S5-05</x:v>
      </x:c>
      <x:c r="B27" s="214" t="n">
        <x:v>46278</x:v>
      </x:c>
      <x:c r="C27" s="213" t="n">
        <x:v>5</x:v>
      </x:c>
      <x:c r="D27" s="213" t="str">
        <x:v>Update</x:v>
      </x:c>
      <x:c r="E27" s="213" t="str">
        <x:v>Prepare the September 17 submission for the September 19 meeting; present the source shortlist, completed work, and remaining decisions. [Target 17 Sep; added 13 Sep 2026]</x:v>
      </x:c>
      <x:c r="F27" s="213" t="str">
        <x:v>Sources recorded in Source Status / Advisor Feedback</x:v>
      </x:c>
      <x:c r="G27" s="213" t="str">
        <x:v>Baseline populated</x:v>
      </x:c>
    </x:row>
    <x:row r="28" ht="90" customHeight="1">
      <x:c r="A28" s="93" t="str">
        <x:v>20260914-S2-01</x:v>
      </x:c>
      <x:c r="B28" s="236" t="n">
        <x:v>46279</x:v>
      </x:c>
      <x:c r="C28" s="93" t="n">
        <x:v>2</x:v>
      </x:c>
      <x:c r="D28" s="93" t="str">
        <x:v>Update</x:v>
      </x:c>
      <x:c r="E28" s="93" t="str">
        <x:v>Germany, Australia and SANSA supplied public data links. SANSA confirmed free scientific/research use and the Hermanus acknowledgment. [14 Sep 2026]</x:v>
      </x:c>
      <x:c r="F28" s="93" t="str">
        <x:v>https://mail.google.com/mail/#all/1a09f75205d0f3f4</x:v>
      </x:c>
      <x:c r="G28" s="93" t="str">
        <x:v>Replaced relevant paragraph in user v4; original preserved in previous file.</x:v>
      </x:c>
    </x:row>
    <x:row r="29" ht="90" customHeight="1">
      <x:c r="A29" s="93" t="str">
        <x:v>20260914-S2-02</x:v>
      </x:c>
      <x:c r="B29" s="236" t="n">
        <x:v>46279</x:v>
      </x:c>
      <x:c r="C29" s="93" t="n">
        <x:v>2</x:v>
      </x:c>
      <x:c r="D29" s="93" t="str">
        <x:v>Update</x:v>
      </x:c>
      <x:c r="E29" s="93" t="str">
        <x:v>Canada’s file clarification remains pending. SANSA has no public direct satellite-link latency, packet-loss or availability datasets; its geomagnetic records are candidate environmental inputs. Exact file/field checks remain open. [14 Sep 2026]</x:v>
      </x:c>
      <x:c r="F29" s="93" t="str">
        <x:v>https://mail.google.com/mail/#all/1a09f75205d0f3f4</x:v>
      </x:c>
      <x:c r="G29" s="93" t="str">
        <x:v>Replaced relevant paragraph in user v4; original preserved in previous file.</x:v>
      </x:c>
    </x:row>
    <x:row r="30" ht="90" customHeight="1">
      <x:c r="A30" s="93" t="str">
        <x:v>20260914-S3-03</x:v>
      </x:c>
      <x:c r="B30" s="236" t="n">
        <x:v>46279</x:v>
      </x:c>
      <x:c r="C30" s="93" t="n">
        <x:v>3</x:v>
      </x:c>
      <x:c r="D30" s="93" t="str">
        <x:v>Update</x:v>
      </x:c>
      <x:c r="E30" s="93" t="str">
        <x:v>SANSA supplied a public geomagnetic-data route, research-use terms and acknowledgment. Australia and South Africa now provide two Southern Hemisphere environmental-source routes. [14 Sep 2026]</x:v>
      </x:c>
      <x:c r="F30" s="93" t="str">
        <x:v>https://mail.google.com/mail/#all/1a09f75205d0f3f4</x:v>
      </x:c>
      <x:c r="G30" s="93" t="str">
        <x:v>Replaced relevant paragraph in user v4; original preserved in previous file.</x:v>
      </x:c>
    </x:row>
    <x:row r="31" ht="90" customHeight="1">
      <x:c r="A31" s="93" t="str">
        <x:v>20260914-S4-04</x:v>
      </x:c>
      <x:c r="B31" s="236" t="n">
        <x:v>46279</x:v>
      </x:c>
      <x:c r="C31" s="93" t="n">
        <x:v>4</x:v>
      </x:c>
      <x:c r="D31" s="93" t="str">
        <x:v>Update</x:v>
      </x:c>
      <x:c r="E31" s="93" t="str">
        <x:v>File selection, timestamp coverage, field definitions and quality checks remain open. SANSA confirmed research-use terms and the required acknowledgment; product-specific checks remain. [14 Sep 2026]</x:v>
      </x:c>
      <x:c r="F31" s="93" t="str">
        <x:v>https://mail.google.com/mail/#all/1a09f75205d0f3f4</x:v>
      </x:c>
      <x:c r="G31" s="93" t="str">
        <x:v>Replaced relevant paragraph in user v4; original preserved in previous file.</x:v>
      </x:c>
    </x:row>
    <x:row r="32" ht="90" customHeight="1">
      <x:c r="A32" s="93" t="str">
        <x:v>20260914-S4-05</x:v>
      </x:c>
      <x:c r="B32" s="236" t="n">
        <x:v>46279</x:v>
      </x:c>
      <x:c r="C32" s="93" t="n">
        <x:v>4</x:v>
      </x:c>
      <x:c r="D32" s="93" t="str">
        <x:v>Update</x:v>
      </x:c>
      <x:c r="E32" s="93" t="str">
        <x:v>SANSA confirmed no public direct satellite-link latency, packet-loss or service-availability datasets. Its environmental records will not be treated as network-performance measurements. [14 Sep 2026]</x:v>
      </x:c>
      <x:c r="F32" s="93" t="str">
        <x:v>https://mail.google.com/mail/#all/1a09f75205d0f3f4</x:v>
      </x:c>
      <x:c r="G32" s="93" t="str">
        <x:v>Replaced relevant paragraph in user v4; original preserved in previous file.</x:v>
      </x:c>
    </x:row>
    <x:row r="33" ht="90" customHeight="1">
      <x:c r="A33" s="93" t="str">
        <x:v>20260914-S5-06</x:v>
      </x:c>
      <x:c r="B33" s="236" t="n">
        <x:v>46279</x:v>
      </x:c>
      <x:c r="C33" s="93" t="n">
        <x:v>5</x:v>
      </x:c>
      <x:c r="D33" s="93" t="str">
        <x:v>Update</x:v>
      </x:c>
      <x:c r="E33" s="93" t="str">
        <x:v>Screen a WetLinks sample and Australian/SANSA environmental products; identify files, variables, units, coverage, cadence, quality flags and citation terms.</x:v>
      </x:c>
      <x:c r="F33" s="93" t="str">
        <x:v>https://mail.google.com/mail/#all/1a09f75205d0f3f4</x:v>
      </x:c>
      <x:c r="G33" s="93" t="str">
        <x:v>Replaced relevant paragraph in user v4; original preserved in previous file.</x:v>
      </x:c>
    </x:row>
    <x:row r="34" ht="90" customHeight="1">
      <x:c r="A34" s="93" t="str">
        <x:v>20260914-S5-07</x:v>
      </x:c>
      <x:c r="B34" s="236" t="n">
        <x:v>46279</x:v>
      </x:c>
      <x:c r="C34" s="93" t="n">
        <x:v>5</x:v>
      </x:c>
      <x:c r="D34" s="93" t="str">
        <x:v>Update</x:v>
      </x:c>
      <x:c r="E34" s="93" t="str">
        <x:v>Screen LENS when the applicable files are identified. [Planned; 20 Sep 2026; updated 14 Sep 2026]</x:v>
      </x:c>
      <x:c r="F34" s="93" t="str">
        <x:v>https://mail.google.com/mail/#all/1a09f75205d0f3f4</x:v>
      </x:c>
      <x:c r="G34" s="93" t="str">
        <x:v>Replaced relevant paragraph in user v4; original preserved in previous file.</x:v>
      </x:c>
    </x:row>
    <x:row r="35" ht="90" customHeight="1">
      <x:c r="A35" s="93" t="str">
        <x:v>20260914-S5-08</x:v>
      </x:c>
      <x:c r="B35" s="236" t="n">
        <x:v>46279</x:v>
      </x:c>
      <x:c r="C35" s="93" t="n">
        <x:v>5</x:v>
      </x:c>
      <x:c r="D35" s="93" t="str">
        <x:v>Update</x:v>
      </x:c>
      <x:c r="E35" s="93" t="str">
        <x:v>If needed, specify SANSA historical datasets and dates for Kate; track Canada/Japan and clarify Australian regional K-index needs. [Planned; updated 14 Sep 2026]</x:v>
      </x:c>
      <x:c r="F35" s="93" t="str">
        <x:v>https://mail.google.com/mail/#all/1a09f75205d0f3f4</x:v>
      </x:c>
      <x:c r="G35" s="93" t="str">
        <x:v>Replaced relevant paragraph in user v4; original preserved in previous file.</x:v>
      </x:c>
    </x:row>
    <x:row r="36" ht="90" customHeight="1">
      <x:c r="A36" s="93" t="str">
        <x:v>20260914-S5-09</x:v>
      </x:c>
      <x:c r="B36" s="236" t="n">
        <x:v>46279</x:v>
      </x:c>
      <x:c r="C36" s="93" t="n">
        <x:v>5</x:v>
      </x:c>
      <x:c r="D36" s="93" t="str">
        <x:v>Update</x:v>
      </x:c>
      <x:c r="E36" s="93" t="str">
        <x:v>Finalize this update for September 17 and the September 19 advising session. [Target 17 Sep 2026]</x:v>
      </x:c>
      <x:c r="F36" s="93" t="str">
        <x:v>Standing Thursday submission instruction; separates prior conflicting Sep 27 target.</x:v>
      </x:c>
      <x:c r="G36" s="93" t="str">
        <x:v>Replaced relevant paragraph in user v4; original preserved in previous file.</x:v>
      </x:c>
    </x:row>
    <x:row r="37">
      <x:c r="B37" s="222"/>
    </x:row>
    <x:row r="38">
      <x:c r="B38" s="222"/>
    </x:row>
    <x:row r="39">
      <x:c r="B39" s="222"/>
    </x:row>
    <x:row r="40">
      <x:c r="B40" s="222"/>
    </x:row>
    <x:row r="41" ht="82" customHeight="1">
      <x:c r="A41" s="257" t="str">
        <x:v>20260914-JP-S2</x:v>
      </x:c>
      <x:c r="B41" s="258" t="n">
        <x:v>46279</x:v>
      </x:c>
      <x:c r="C41" s="257" t="n">
        <x:v>2</x:v>
      </x:c>
      <x:c r="D41" s="257" t="str">
        <x:v>Update</x:v>
      </x:c>
      <x:c r="E41" s="257" t="str">
        <x:v>NICT requested ionosonde/TEC specifics and offered source guidance. Canada’s file clarification and dataset checks remain open. SANSA provides environmental—not direct link-performance—data. [14 Sep 2026]</x:v>
      </x:c>
      <x:c r="F41" s="257" t="str">
        <x:v>User screenshots 1000717532.jpg, 1000717533.jpg, 1000717534.jpg; received date reported by Carlo: 14 Sep 2026. Thread: [iono 573].</x:v>
      </x:c>
      <x:c r="G41" s="257" t="str">
        <x:v>Japan-only update; original retained in v5; not sent to advisor.</x:v>
      </x:c>
    </x:row>
    <x:row r="42" ht="82" customHeight="1">
      <x:c r="A42" s="257" t="str">
        <x:v>20260914-JP-S3</x:v>
      </x:c>
      <x:c r="B42" s="258" t="n">
        <x:v>46279</x:v>
      </x:c>
      <x:c r="C42" s="257" t="n">
        <x:v>3</x:v>
      </x:c>
      <x:c r="D42" s="257" t="str">
        <x:v>Update</x:v>
      </x:c>
      <x:c r="E42" s="257" t="str">
        <x:v>Australia/SANSA supplied environmental-source routes. NICT’s Dr. Perwitasari reviewed the presentation and requested ionosonde/TEC specifics; no files or links supplied. [14 Sep 2026]</x:v>
      </x:c>
      <x:c r="F42" s="257" t="str">
        <x:v>User screenshots 1000717532.jpg, 1000717533.jpg, 1000717534.jpg; received date reported by Carlo: 14 Sep 2026. Thread: [iono 573].</x:v>
      </x:c>
      <x:c r="G42" s="257" t="str">
        <x:v>Japan-only update; original retained in v5; not sent to advisor.</x:v>
      </x:c>
    </x:row>
    <x:row r="43" ht="82" customHeight="1">
      <x:c r="A43" s="257" t="str">
        <x:v>20260914-JP-S4</x:v>
      </x:c>
      <x:c r="B43" s="258" t="n">
        <x:v>46279</x:v>
      </x:c>
      <x:c r="C43" s="257" t="n">
        <x:v>4</x:v>
      </x:c>
      <x:c r="D43" s="257" t="str">
        <x:v>Update</x:v>
      </x:c>
      <x:c r="E43" s="257" t="str">
        <x:v>NICT needs a defined ionospheric product and historical period. Direct satellite-link metrics are unconfirmed in this reply. File selection, coverage, quality and reuse checks remain open. [14 Sep 2026]</x:v>
      </x:c>
      <x:c r="F43" s="257" t="str">
        <x:v>User screenshots 1000717532.jpg, 1000717533.jpg, 1000717534.jpg; received date reported by Carlo: 14 Sep 2026. Thread: [iono 573].</x:v>
      </x:c>
      <x:c r="G43" s="257" t="str">
        <x:v>Japan-only update; original retained in v5; not sent to advisor.</x:v>
      </x:c>
    </x:row>
    <x:row r="44" ht="82" customHeight="1">
      <x:c r="A44" s="257" t="str">
        <x:v>20260914-JP-S5</x:v>
      </x:c>
      <x:c r="B44" s="258" t="n">
        <x:v>46279</x:v>
      </x:c>
      <x:c r="C44" s="257" t="n">
        <x:v>5</x:v>
      </x:c>
      <x:c r="D44" s="257" t="str">
        <x:v>Update</x:v>
      </x:c>
      <x:c r="E44" s="257" t="str">
        <x:v>Reply to Dr. Perwitasari with ionosonde/TEC requirements and proposed historical coverage; request a network-data referral. Continue Canada, SANSA and Australia follow-ups. [Planned; updated 14 Sep 2026]</x:v>
      </x:c>
      <x:c r="F44" s="257" t="str">
        <x:v>User screenshots 1000717532.jpg, 1000717533.jpg, 1000717534.jpg; received date reported by Carlo: 14 Sep 2026. Thread: [iono 573].</x:v>
      </x:c>
      <x:c r="G44" s="257" t="str">
        <x:v>Japan-only update; original retained in v5; not sent to advisor.</x:v>
      </x:c>
    </x:row>
  </x:sheetData>
  <x:mergeCells>
    <x:mergeCell ref="A1:G1"/>
    <x:mergeCell ref="A2:G2"/>
  </x:mergeCells>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95" hidden="0" customWidth="1"/>
  </x:cols>
  <x:sheetData>
    <x:row r="1" ht="30" customHeight="1">
      <x:c r="A1" s="204" t="str">
        <x:v>PRAXIS BATTLE RHYTHM / CONTROL RULES</x:v>
      </x:c>
      <x:c r="B1" s="204"/>
    </x:row>
    <x:row r="2" ht="32" customHeight="1">
      <x:c r="A2" s="207" t="str">
        <x:v>15 Sep 2026 — v10 integrates v09 remote sources, prior expansion/reference intake, domestic contacts and access requirements. No slide-deck edits made in this workbook-only update.</x:v>
      </x:c>
      <x:c r="B2" s="207"/>
    </x:row>
    <x:row r="4" ht="30" customHeight="1">
      <x:c r="A4" s="209" t="str">
        <x:v>Control</x:v>
      </x:c>
      <x:c r="B4" s="209" t="str">
        <x:v>Rule</x:v>
      </x:c>
    </x:row>
    <x:row r="5" ht="42" customHeight="1">
      <x:c r="A5" s="213" t="str">
        <x:v>Editable slide numbers</x:v>
      </x:c>
      <x:c r="B5" s="213" t="str">
        <x:v>2, 3, 4, 5 only.</x:v>
      </x:c>
    </x:row>
    <x:row r="6" ht="42" customHeight="1">
      <x:c r="A6" s="212" t="str">
        <x:v>Protected slide numbers</x:v>
      </x:c>
      <x:c r="B6" s="212" t="str">
        <x:v>1 and 6–17. Latest user deck has 17 slides. Preserve all non-authorized slide XML, layouts, imagery, text and numbering; flag stale appendix snapshots rather than editing.</x:v>
      </x:c>
    </x:row>
    <x:row r="7" ht="42" customHeight="1">
      <x:c r="A7" s="213" t="str">
        <x:v>Advisor text</x:v>
      </x:c>
      <x:c r="B7" s="213" t="str">
        <x:v>Exact short excerpts in red, Times New Roman, 10 pt; original feedback date at the end.</x:v>
      </x:c>
    </x:row>
    <x:row r="8" ht="42" customHeight="1">
      <x:c r="A8" s="212" t="str">
        <x:v>Response text</x:v>
      </x:c>
      <x:c r="B8" s="212" t="str">
        <x:v>Black, Times New Roman, 10 pt; placed immediately after the relevant feedback; update date at the end.</x:v>
      </x:c>
    </x:row>
    <x:row r="9" ht="42" customHeight="1">
      <x:c r="A9" s="213" t="str">
        <x:v>Tone</x:v>
      </x:c>
      <x:c r="B9" s="213" t="str">
        <x:v>Short, plain, professional. Yellow is normal. Do not invent alarm, results or completion.</x:v>
      </x:c>
    </x:row>
    <x:row r="10" ht="42" customHeight="1">
      <x:c r="A10" s="212" t="str">
        <x:v>Slide 2</x:v>
      </x:c>
      <x:c r="B10" s="212" t="str">
        <x:v>Advisor direction + current response; carry forward unresolved items and document closure evidence.</x:v>
      </x:c>
    </x:row>
    <x:row r="11" ht="42" customHeight="1">
      <x:c r="A11" s="213" t="str">
        <x:v>Slide 3</x:v>
      </x:c>
      <x:c r="B11" s="213" t="str">
        <x:v>Evidence-backed progress, source replies, file/field selection and literature progress.</x:v>
      </x:c>
    </x:row>
    <x:row r="12" ht="42" customHeight="1">
      <x:c r="A12" s="212" t="str">
        <x:v>Slide 4</x:v>
      </x:c>
      <x:c r="B12" s="212" t="str">
        <x:v>Actual open issues and setbacks only; no filler.</x:v>
      </x:c>
    </x:row>
    <x:row r="13" ht="42" customHeight="1">
      <x:c r="A13" s="213" t="str">
        <x:v>Slide 5</x:v>
      </x:c>
      <x:c r="B13" s="213" t="str">
        <x:v>Next actions; identify planned work and target dates separately from completed work.</x:v>
      </x:c>
    </x:row>
    <x:row r="14" ht="42" customHeight="1">
      <x:c r="A14" s="212" t="str">
        <x:v>Scope</x:v>
      </x:c>
      <x:c r="B14" s="212" t="str">
        <x:v>DES / ground-centric versus bounded orbital-edge processing; core measures uptime, downtime, latency, queueing delay.</x:v>
      </x:c>
    </x:row>
    <x:row r="15" ht="42" customHeight="1">
      <x:c r="A15" s="213" t="str">
        <x:v>Institution coverage</x:v>
      </x:c>
      <x:c r="B15" s="213" t="str">
        <x:v>International RFI register + NOAA, NASA SCaN, RAND, CelesTrak and any later relevant research source.</x:v>
      </x:c>
    </x:row>
    <x:row r="16" ht="42" customHeight="1">
      <x:c r="A16" s="212" t="str">
        <x:v>Evidence stages</x:v>
      </x:c>
      <x:c r="B16" s="212" t="str">
        <x:v>Contacted; auto-reply; substantive reply; links received; file inspected; variables usable; adopted. Never collapse these.</x:v>
      </x:c>
    </x:row>
    <x:row r="17" ht="42" customHeight="1">
      <x:c r="A17" s="213" t="str">
        <x:v>Unknown fields</x:v>
      </x:c>
      <x:c r="B17" s="213" t="str">
        <x:v>Not mentioned means unconfirmed. Explicit provider denial is recorded as not publicly available at that provider; do not generalize to all providers or private holdings.</x:v>
      </x:c>
    </x:row>
    <x:row r="18" ht="42" customHeight="1">
      <x:c r="A18" s="212" t="str">
        <x:v>Source boundaries</x:v>
      </x:c>
      <x:c r="B18" s="212" t="str">
        <x:v>Keep environmental/HF data, architecture descriptions, methods literature and direct network measurements distinct.</x:v>
      </x:c>
    </x:row>
    <x:row r="19" ht="42" customHeight="1">
      <x:c r="A19" s="213" t="str">
        <x:v>Excluded from slides</x:v>
      </x:c>
      <x:c r="B19" s="213" t="str">
        <x:v>OV-1 procurement, editor procurement and unrelated personal/administrative messages.</x:v>
      </x:c>
    </x:row>
    <x:row r="20" ht="42" customHeight="1">
      <x:c r="A20" s="212" t="str">
        <x:v>Version control</x:v>
      </x:c>
      <x:c r="B20" s="212" t="str">
        <x:v>Create dated versions; preserve prior files. Use latest user-approved deck, not a stale blank template.</x:v>
      </x:c>
    </x:row>
    <x:row r="21" ht="42" customHeight="1">
      <x:c r="A21" s="213" t="str">
        <x:v>Deduplication</x:v>
      </x:c>
      <x:c r="B21" s="213" t="str">
        <x:v>Original message ID/header date + attachment identity + source-row/update ID; deduplicate auto-forwards.</x:v>
      </x:c>
    </x:row>
    <x:row r="22" ht="42" customHeight="1">
      <x:c r="A22" s="212" t="str">
        <x:v>Automatic submission</x:v>
      </x:c>
      <x:c r="B22" s="212" t="str">
        <x:v>Do not email or submit materials to the advisor and do not create calendar events.</x:v>
      </x:c>
    </x:row>
    <x:row r="23" ht="42" customHeight="1">
      <x:c r="A23" s="213" t="str">
        <x:v>Event notifications</x:v>
      </x:c>
      <x:c r="B23" s="213" t="str">
        <x:v>Requested. Native Gmail arrival-trigger setup is not exposed in this session; Mailopoly currently has Yahoo only. Not enabled for NAC Gmail.</x:v>
      </x:c>
    </x:row>
    <x:row r="24" ht="42" customHeight="1">
      <x:c r="A24" s="212" t="str">
        <x:v>Access failure</x:v>
      </x:c>
      <x:c r="B24" s="212" t="str">
        <x:v>Report missing source/artifact or blocked write. Do not claim the register or deck was updated.</x:v>
      </x:c>
    </x:row>
    <x:row r="26" ht="44" customHeight="1">
      <x:c r="A26" s="211" t="str">
        <x:v>Current deck</x:v>
      </x:c>
      <x:c r="B26" s="211" t="str">
        <x:v>Sept - Nino Advisor Update 2026-09-17 v6 Japan.pptx</x:v>
      </x:c>
    </x:row>
    <x:row r="27" ht="44" customHeight="1">
      <x:c r="A27" s="211" t="str">
        <x:v>Current report cutoff</x:v>
      </x:c>
      <x:c r="B27" s="211" t="str">
        <x:v>Sources/access register current through 15 Sep 2026; research correspondence dates retained. No full inbox scan performed.</x:v>
      </x:c>
    </x:row>
    <x:row r="28" ht="44" customHeight="1">
      <x:c r="A28" s="211" t="str">
        <x:v>Incoming-mail alert dependency</x:v>
      </x:c>
      <x:c r="B28" s="211" t="str">
        <x:v>NAC Gmail is readable through Gmail connector. Mailopoly currently has Yahoo only; NAC connection link generated, authorization still pending. No arrival trigger created.</x:v>
      </x:c>
    </x:row>
    <x:row r="30" ht="26" customHeight="1">
      <x:c r="A30" s="221" t="str">
        <x:v>Core metrics</x:v>
      </x:c>
      <x:c r="B30" s="221" t="str">
        <x:v>Uptime / downtime / latency / queueing delay</x:v>
      </x:c>
    </x:row>
    <x:row r="31" ht="26" customHeight="1">
      <x:c r="A31" s="221" t="str">
        <x:v>Latest advisor grade</x:v>
      </x:c>
      <x:c r="B31" s="221" t="str">
        <x:v>Yellow: Some Progress — normal; not automatically a warning</x:v>
      </x:c>
    </x:row>
    <x:row r="32" ht="26" customHeight="1">
      <x:c r="A32" s="221" t="str">
        <x:v>Baseline substantive replies</x:v>
      </x:c>
      <x:c r="B32" s="221" t="n">
        <x:f>Summary!D18</x:f>
        <x:v>5</x:v>
      </x:c>
    </x:row>
    <x:row r="33" ht="26" customHeight="1">
      <x:c r="A33" s="221" t="str">
        <x:v>Sources with public links received</x:v>
      </x:c>
      <x:c r="B33" s="221" t="n">
        <x:f>Summary!H18</x:f>
        <x:v>3</x:v>
      </x:c>
    </x:row>
    <x:row r="34" ht="26" customHeight="1">
      <x:c r="A34" s="221" t="str">
        <x:v>Unresolved advisor action items</x:v>
      </x:c>
      <x:c r="B34" s="221" t="n">
        <x:f>COUNTIF('Advisor Feedback'!F5:F7,"In progress")</x:f>
        <x:v>3</x:v>
      </x:c>
    </x:row>
    <x:row r="36" ht="45" customHeight="1">
      <x:c r="A36" s="211" t="str">
        <x:v>Scheduled preparation</x:v>
      </x:c>
      <x:c r="B36" s="211" t="str">
        <x:v>Praxis Thursday Update — active every Thursday morning, around 08:00 America/Los_Angeles (within one hour); starts 17 Sep 2026.</x:v>
      </x:c>
    </x:row>
    <x:row r="37" ht="45" customHeight="1">
      <x:c r="A37" s="211" t="str">
        <x:v>Calendar</x:v>
      </x:c>
      <x:c r="B37" s="211" t="str">
        <x:v>No calendar event created. No automatic email or submission to Dr. Hao.</x:v>
      </x:c>
    </x:row>
    <x:row r="38" ht="45" customHeight="1">
      <x:c r="A38" s="211" t="str">
        <x:v>Arrival-trigger state</x:v>
      </x:c>
      <x:c r="B38" s="211" t="str">
        <x:v>Not active. NAC Gmail connection to Mailopoly must be authorized; no native Gmail arrival-trigger interface was exposed.</x:v>
      </x:c>
    </x:row>
    <x:row r="39" ht="45" customHeight="1">
      <x:c r="A39" s="211" t="str">
        <x:v>Existing automations</x:v>
      </x:c>
      <x:c r="B39" s="211" t="str">
        <x:v>Existing daily research reading and Sunday source-intake tasks were not changed.</x:v>
      </x:c>
    </x:row>
    <x:row r="40" ht="55" customHeight="1">
      <x:c r="A40" s="93" t="str">
        <x:v>Current register</x:v>
      </x:c>
      <x:c r="B40" s="93" t="str">
        <x:v>International_Domestic_Research_Data_Register_2026-09-15_v10.xlsx</x:v>
      </x:c>
    </x:row>
    <x:row r="41" ht="55" customHeight="1">
      <x:c r="A41" s="93" t="str">
        <x:v>Processed SANSA response IDs</x:v>
      </x:c>
      <x:c r="B41" s="93" t="str">
        <x:v>1a09ef3198bfce8e (2026-09-14T08:04:51Z); 1a09f75205d0f3f4 (2026-09-14T10:26:59Z)</x:v>
      </x:c>
    </x:row>
    <x:row r="42" ht="55" customHeight="1">
      <x:c r="A42" s="93" t="str">
        <x:v>Historical appendix caution</x:v>
      </x:c>
      <x:c r="B42" s="93" t="str">
        <x:v>Slides 6–17 remain protected, including historical source snapshots. Current SANSA/NICT status is on slides 2–5 and in this register.</x:v>
      </x:c>
    </x:row>
    <x:row r="43" ht="56" customHeight="1">
      <x:c r="A43" s="93" t="str">
        <x:v>Japan response evidence / deduplication</x:v>
      </x:c>
      <x:c r="B43" s="93" t="str">
        <x:v>JP-NICT-20260914-IONO573-SEPTI; [iono 573]; screenshot evidence only; match sender/body when a later forward arrives.</x:v>
      </x:c>
    </x:row>
    <x:row r="44" ht="50" customHeight="1">
      <x:c r="A44" s="93" t="str">
        <x:v>Current update scope</x:v>
      </x:c>
      <x:c r="B44" s="93" t="str">
        <x:v>Japan-specific update only, not a full-inbox cutoff. Five substantive country replies; three public-link replies. No new dataset acquisition or sent clarification claimed.</x:v>
      </x:c>
    </x:row>
    <x:row r="45" ht="50" customHeight="1">
      <x:c r="A45" s="93"/>
      <x:c r="B45" s="93"/>
    </x:row>
    <x:row r="46" ht="50" customHeight="1">
      <x:c r="A46" s="93" t="str">
        <x:v>Paired citation workbook</x:v>
      </x:c>
      <x:c r="B46" s="93" t="str">
        <x:v>GWU_Praxis_AIS_Master_Register_2026-09-15_References_Updated.xlsx</x:v>
      </x:c>
    </x:row>
    <x:row r="47" ht="50" customHeight="1">
      <x:c r="A47" s="93" t="str">
        <x:v>Latest workbook-only update</x:v>
      </x:c>
      <x:c r="B47" s="93" t="str">
        <x:v>15 Sep 2026. Scored master research rows/hybrid formulas retained; screenshot records remain unverified leads/source pools.</x:v>
      </x:c>
    </x:row>
    <x:row r="48" ht="50" customHeight="1">
      <x:c r="A48" s="93" t="str">
        <x:v>Correspondence versus access</x:v>
      </x:c>
      <x:c r="B48" s="93" t="str">
        <x:v>Public repository discovery does not change who replied or whether an email was sent. Do not infer sent status from a draft.</x:v>
      </x:c>
    </x:row>
  </x:sheetData>
  <x:mergeCells>
    <x:mergeCell ref="A1:B1"/>
    <x:mergeCell ref="A2:B2"/>
  </x:mergeCells>
  <x:pageMargins left="0.7" right="0.7" top="0.75" bottom="0.75" header="0.3" footer="0.3"/>
</x:worksheet>
</file>

<file path=xl/worksheets/sheet13.xml><?xml version="1.0" encoding="utf-8"?>
<x:worksheet xmlns:x="http://schemas.openxmlformats.org/spreadsheetml/2006/main">
  <x:sheetFormatPr defaultRowHeight="15"/>
  <x:cols>
    <x:col min="1" max="1" width="31" hidden="0" customWidth="1"/>
    <x:col min="2" max="2" width="21" hidden="0" customWidth="1"/>
    <x:col min="3" max="3" width="21" hidden="0" customWidth="1"/>
    <x:col min="4" max="4" width="21" hidden="0" customWidth="1"/>
    <x:col min="5" max="5" width="21" hidden="0" customWidth="1"/>
    <x:col min="6" max="6" width="21" hidden="0" customWidth="1"/>
  </x:cols>
  <x:sheetData>
    <x:row r="1" ht="32" customHeight="1">
      <x:c r="A1" s="230" t="str">
        <x:v>SANSA — SUBSTANTIVE RESPONSE | 14 SEPTEMBER 2026</x:v>
      </x:c>
      <x:c r="B1" s="230"/>
      <x:c r="C1" s="230"/>
      <x:c r="D1" s="230"/>
      <x:c r="E1" s="230"/>
      <x:c r="F1" s="230"/>
    </x:row>
    <x:row r="2" ht="34" customHeight="1">
      <x:c r="A2" s="232" t="str">
        <x:v>Public geomagnetic-data route confirmed; direct satellite-link performance is not publicly available from SANSA.</x:v>
      </x:c>
      <x:c r="B2" s="232"/>
      <x:c r="C2" s="232"/>
      <x:c r="D2" s="232"/>
      <x:c r="E2" s="232"/>
      <x:c r="F2" s="232"/>
    </x:row>
    <x:row r="3">
      <x:c r="A3" s="228"/>
      <x:c r="B3" s="228"/>
      <x:c r="C3" s="228"/>
      <x:c r="D3" s="228"/>
      <x:c r="E3" s="228"/>
      <x:c r="F3" s="228"/>
    </x:row>
    <x:row r="4" ht="46" customHeight="1">
      <x:c r="A4" s="234" t="str">
        <x:v>Record date</x:v>
      </x:c>
      <x:c r="B4" s="228" t="str">
        <x:v>14 September 2026</x:v>
      </x:c>
      <x:c r="C4" s="228"/>
      <x:c r="D4" s="228"/>
      <x:c r="E4" s="228"/>
      <x:c r="F4" s="228"/>
    </x:row>
    <x:row r="5" ht="56" customHeight="1">
      <x:c r="A5" s="234" t="str">
        <x:v>Status</x:v>
      </x:c>
      <x:c r="B5" s="228" t="str">
        <x:v>Substantive technical reply received; public link and research-use terms provided. Files not downloaded, inspected or adopted.</x:v>
      </x:c>
      <x:c r="C5" s="228"/>
      <x:c r="D5" s="228"/>
      <x:c r="E5" s="228"/>
      <x:c r="F5" s="228"/>
    </x:row>
    <x:row r="6" ht="46" customHeight="1">
      <x:c r="A6" s="234" t="str">
        <x:v>Primary data contact</x:v>
      </x:c>
      <x:c r="B6" s="228" t="str">
        <x:v>Kate Niemantinga | Data Operations Specialist | kniemantinga@sansa.org.za</x:v>
      </x:c>
      <x:c r="C6" s="228"/>
      <x:c r="D6" s="228"/>
      <x:c r="E6" s="228"/>
      <x:c r="F6" s="228"/>
    </x:row>
    <x:row r="7" ht="46" customHeight="1">
      <x:c r="A7" s="234" t="str">
        <x:v>Contact telephone</x:v>
      </x:c>
      <x:c r="B7" s="228" t="str">
        <x:v>Office +27 28 285 0056 | Mobile +27 72 295 8447</x:v>
      </x:c>
      <x:c r="C7" s="228"/>
      <x:c r="D7" s="228"/>
      <x:c r="E7" s="228"/>
      <x:c r="F7" s="228"/>
    </x:row>
    <x:row r="8" ht="46" customHeight="1">
      <x:c r="A8" s="234" t="str">
        <x:v>Manager / referral</x:v>
      </x:c>
      <x:c r="B8" s="228" t="str">
        <x:v>Mpho Tshisaphungo | Space Weather Manager | mtshisaphungo@sansa.org.za</x:v>
      </x:c>
      <x:c r="C8" s="228"/>
      <x:c r="D8" s="228"/>
      <x:c r="E8" s="228"/>
      <x:c r="F8" s="228"/>
    </x:row>
    <x:row r="9" ht="46" customHeight="1">
      <x:c r="A9" s="234" t="str">
        <x:v>Manager telephone</x:v>
      </x:c>
      <x:c r="B9" s="228" t="str">
        <x:v>Office +27 28 285 0101 | Mobile +27 82 614 5836</x:v>
      </x:c>
      <x:c r="C9" s="228"/>
      <x:c r="D9" s="228"/>
      <x:c r="E9" s="228"/>
      <x:c r="F9" s="228"/>
    </x:row>
    <x:row r="10" ht="46" customHeight="1">
      <x:c r="A10" s="234" t="str">
        <x:v>Address</x:v>
      </x:c>
      <x:c r="B10" s="228" t="str">
        <x:v>Hospital Street, Hermanus 7200 | PO Box 32, Hermanus 7200 | SOUTH AFRICA</x:v>
      </x:c>
      <x:c r="C10" s="228"/>
      <x:c r="D10" s="228"/>
      <x:c r="E10" s="228"/>
      <x:c r="F10" s="228"/>
    </x:row>
    <x:row r="11" ht="46" customHeight="1">
      <x:c r="A11" s="234" t="str">
        <x:v>Public platform</x:v>
      </x:c>
      <x:c r="B11" s="228" t="str">
        <x:v>https://spaceweather.sansa.org.za/products-and-services/current-conditions/geomagnetic-data</x:v>
      </x:c>
      <x:c r="C11" s="228"/>
      <x:c r="D11" s="228"/>
      <x:c r="E11" s="228"/>
      <x:c r="F11" s="228"/>
    </x:row>
    <x:row r="12" ht="46" customHeight="1">
      <x:c r="A12" s="234" t="str">
        <x:v>Scientific/research use</x:v>
      </x:c>
      <x:c r="B12" s="228" t="str">
        <x:v>SANSA provides its data free of charge for scientific/research purposes, according to Kate's reply.</x:v>
      </x:c>
      <x:c r="C12" s="228"/>
      <x:c r="D12" s="228"/>
      <x:c r="E12" s="228"/>
      <x:c r="F12" s="228"/>
    </x:row>
    <x:row r="13" ht="46" customHeight="1">
      <x:c r="A13" s="234" t="str">
        <x:v>Commercial use</x:v>
      </x:c>
      <x:c r="B13" s="228" t="str">
        <x:v>Subject to SANSA's applicable data tariffs and conditions of use; no commercial permission inferred.</x:v>
      </x:c>
      <x:c r="C13" s="228"/>
      <x:c r="D13" s="228"/>
      <x:c r="E13" s="228"/>
      <x:c r="F13" s="228"/>
    </x:row>
    <x:row r="14" ht="46" customHeight="1">
      <x:c r="A14" s="234" t="str">
        <x:v>Historical records</x:v>
      </x:c>
      <x:c r="B14" s="228" t="str">
        <x:v>Kate can check whether assistance is possible if specific datasets and date ranges cannot be located in the public platform.</x:v>
      </x:c>
      <x:c r="C14" s="228"/>
      <x:c r="D14" s="228"/>
      <x:c r="E14" s="228"/>
      <x:c r="F14" s="228"/>
    </x:row>
    <x:row r="15" ht="65" customHeight="1">
      <x:c r="A15" s="234" t="str">
        <x:v>Explicit availability limit</x:v>
      </x:c>
      <x:c r="B15" s="228" t="str">
        <x:v>SANSA does not have publicly available direct satellite-link performance datasets (e.g. latency, packet loss or service availability).</x:v>
      </x:c>
      <x:c r="C15" s="228"/>
      <x:c r="D15" s="228"/>
      <x:c r="E15" s="228"/>
      <x:c r="F15" s="228"/>
    </x:row>
    <x:row r="16" ht="65" customHeight="1">
      <x:c r="A16" s="234" t="str">
        <x:v>Interpretation boundary</x:v>
      </x:c>
      <x:c r="B16" s="228" t="str">
        <x:v>This identifies the limits of SANSA's public data, not the absence of all private measurements or the limits of other providers. Uptime/downtime cannot be treated as measured from this reply.</x:v>
      </x:c>
      <x:c r="C16" s="228"/>
      <x:c r="D16" s="228"/>
      <x:c r="E16" s="228"/>
      <x:c r="F16" s="228"/>
    </x:row>
    <x:row r="17" ht="46" customHeight="1">
      <x:c r="A17" s="234" t="str">
        <x:v>Preferred HER acknowledgment — exact</x:v>
      </x:c>
      <x:c r="B17" s="228" t="str">
        <x:v>Data from the Hermanus (HER) Magnetic Observatory is made available through the South African National Space Agency (SANSA).</x:v>
      </x:c>
      <x:c r="C17" s="228"/>
      <x:c r="D17" s="228"/>
      <x:c r="E17" s="228"/>
      <x:c r="F17" s="228"/>
    </x:row>
    <x:row r="18" ht="60" customHeight="1">
      <x:c r="A18" s="234" t="str">
        <x:v>Next action — planned</x:v>
      </x:c>
      <x:c r="B18" s="228" t="str">
        <x:v>Select a small environmental product/date window, inspect field definitions, cadence, units and quality flags; ask Kate for the exact historical dataset/range only if it cannot be located.</x:v>
      </x:c>
      <x:c r="C18" s="228"/>
      <x:c r="D18" s="228"/>
      <x:c r="E18" s="228"/>
      <x:c r="F18" s="228"/>
    </x:row>
    <x:row r="19" ht="60" customHeight="1">
      <x:c r="A19" s="234" t="str">
        <x:v>Southern Hemisphere coverage</x:v>
      </x:c>
      <x:c r="B19" s="228" t="str">
        <x:v>Australia (ASWFC) and South Africa (SANSA) are two environmental-data providers with public access routes. Neither is counted here as a downloaded or validated dataset.</x:v>
      </x:c>
      <x:c r="C19" s="228"/>
      <x:c r="D19" s="228"/>
      <x:c r="E19" s="228"/>
      <x:c r="F19" s="228"/>
    </x:row>
    <x:row r="20" ht="46" customHeight="1">
      <x:c r="A20" s="234" t="str">
        <x:v>Mpho referral</x:v>
      </x:c>
      <x:c r="B20" s="228" t="str">
        <x:v>2026-09-14T08:04:51Z | 01:04:51 Pacific | https://mail.google.com/mail/#all/1a09ef3198bfce8e</x:v>
      </x:c>
      <x:c r="C20" s="228"/>
      <x:c r="D20" s="228"/>
      <x:c r="E20" s="228"/>
      <x:c r="F20" s="228"/>
    </x:row>
    <x:row r="21" ht="46" customHeight="1">
      <x:c r="A21" s="234" t="str">
        <x:v>Kate technical response</x:v>
      </x:c>
      <x:c r="B21" s="228" t="str">
        <x:v>2026-09-14T10:26:59Z | 03:26:59 Pacific | https://mail.google.com/mail/#all/1a09f75205d0f3f4</x:v>
      </x:c>
      <x:c r="C21" s="228"/>
      <x:c r="D21" s="228"/>
      <x:c r="E21" s="228"/>
      <x:c r="F21" s="228"/>
    </x:row>
    <x:row r="22" ht="46" customHeight="1">
      <x:c r="A22" s="234" t="str">
        <x:v>Prior RFI</x:v>
      </x:c>
      <x:c r="B22" s="228" t="str">
        <x:v>Aug 17 postal package; Sep 13 targeted email 15:30 Pacific to Mpho, cc spaceweather. Prior correspondence is retained on Sept 13 tabs.</x:v>
      </x:c>
      <x:c r="C22" s="228"/>
      <x:c r="D22" s="228"/>
      <x:c r="E22" s="228"/>
      <x:c r="F22" s="228"/>
    </x:row>
    <x:row r="23" ht="46" customHeight="1">
      <x:c r="A23" s="234" t="str">
        <x:v>Evidence received</x:v>
      </x:c>
      <x:c r="B23" s="228" t="str">
        <x:v>Email text and public link only. Signature images are not research-data attachments.</x:v>
      </x:c>
      <x:c r="C23" s="228"/>
      <x:c r="D23" s="228"/>
      <x:c r="E23" s="228"/>
      <x:c r="F23" s="228"/>
    </x:row>
  </x:sheetData>
  <x:mergeCells>
    <x:mergeCell ref="A1:F1"/>
    <x:mergeCell ref="A2:F2"/>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 ref="B23:F23"/>
  </x:mergeCells>
  <x:pageMargins left="0.7" right="0.7" top="0.75" bottom="0.75" header="0.3" footer="0.3"/>
</x:worksheet>
</file>

<file path=xl/worksheets/sheet14.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38" customHeight="1">
      <x:c r="A1" s="245" t="str">
        <x:v>Satellite-performance source expansion — 14 September 2026</x:v>
      </x:c>
      <x:c r="B1" s="245"/>
      <x:c r="C1" s="245"/>
      <x:c r="D1" s="245"/>
      <x:c r="E1" s="245"/>
      <x:c r="F1" s="245"/>
      <x:c r="G1" s="245"/>
    </x:row>
    <x:row r="2" ht="36" customHeight="1">
      <x:c r="A2" s="243" t="str">
        <x:v>UK retained + five new countries. Prospective sources, not new replies or validated datasets. Existing outreach counts are unchanged.</x:v>
      </x:c>
      <x:c r="B2" s="243"/>
      <x:c r="C2" s="243"/>
      <x:c r="D2" s="243"/>
      <x:c r="E2" s="243"/>
      <x:c r="F2" s="243"/>
      <x:c r="G2" s="243"/>
    </x:row>
    <x:row r="3" ht="28" customHeight="1">
      <x:c r="A3" s="246" t="str">
        <x:v>Additional research routes</x:v>
      </x:c>
      <x:c r="B3" s="246"/>
      <x:c r="C3" s="246"/>
      <x:c r="D3" s="246" t="n">
        <x:f>COUNTA('Expansion Index'!A5:A10)</x:f>
        <x:v>6</x:v>
      </x:c>
      <x:c r="E3" s="246"/>
      <x:c r="F3" s="246"/>
      <x:c r="G3" s="246"/>
    </x:row>
    <x:row r="4" ht="28" customHeight="1">
      <x:c r="A4" s="243"/>
      <x:c r="B4" s="243"/>
      <x:c r="C4" s="243"/>
      <x:c r="D4" s="243"/>
      <x:c r="E4" s="243"/>
      <x:c r="F4" s="243"/>
      <x:c r="G4" s="243"/>
    </x:row>
    <x:row r="5" ht="34" customHeight="1">
      <x:c r="A5" s="247" t="str">
        <x:v>UK — retained | United Kingdom — University of Surrey — LEOScope</x:v>
      </x:c>
      <x:c r="B5" s="247"/>
      <x:c r="C5" s="247"/>
      <x:c r="D5" s="247"/>
      <x:c r="E5" s="247"/>
      <x:c r="F5" s="247"/>
      <x:c r="G5" s="247"/>
    </x:row>
    <x:row r="6" ht="32" customHeight="1">
      <x:c r="A6" s="249" t="str">
        <x:v>Named contact</x:v>
      </x:c>
      <x:c r="B6" s="250" t="str">
        <x:v>LEOScope team; Nishanth Sastry / Saeed Fadaei</x:v>
      </x:c>
      <x:c r="C6" s="250"/>
      <x:c r="D6" s="250"/>
      <x:c r="E6" s="250"/>
      <x:c r="F6" s="250"/>
      <x:c r="G6" s="250"/>
    </x:row>
    <x:row r="7" ht="32" customHeight="1">
      <x:c r="A7" s="248" t="str">
        <x:v>Published email</x:v>
      </x:c>
      <x:c r="B7" s="243" t="str">
        <x:v>leoscopetestbed@surrey.ac.uk</x:v>
      </x:c>
      <x:c r="C7" s="243"/>
      <x:c r="D7" s="243"/>
      <x:c r="E7" s="243"/>
      <x:c r="F7" s="243"/>
      <x:c r="G7" s="243"/>
    </x:row>
    <x:row r="8" ht="58" customHeight="1">
      <x:c r="A8" s="249" t="str">
        <x:v>Data / coverage</x:v>
      </x:c>
      <x:c r="B8" s="250" t="str">
        <x:v>LEO/Starlink measurement testbed. Ask for existing latency, loss, throughput, interruption and recovery traces before proposing new experiments.</x:v>
      </x:c>
      <x:c r="C8" s="250"/>
      <x:c r="D8" s="250"/>
      <x:c r="E8" s="250"/>
      <x:c r="F8" s="250"/>
      <x:c r="G8" s="250"/>
    </x:row>
    <x:row r="9" ht="58" customHeight="1">
      <x:c r="A9" s="248" t="str">
        <x:v>Access / limits</x:v>
      </x:c>
      <x:c r="B9" s="243" t="str">
        <x:v>Testbed verified; existing public historical files not confirmed. Research access and conditions require coordination.</x:v>
      </x:c>
      <x:c r="C9" s="243"/>
      <x:c r="D9" s="243"/>
      <x:c r="E9" s="243"/>
      <x:c r="F9" s="243"/>
      <x:c r="G9" s="243"/>
    </x:row>
    <x:row r="10" ht="58" customHeight="1">
      <x:c r="A10" s="249" t="str">
        <x:v>DES role</x:v>
      </x:c>
      <x:c r="B10" s="250" t="str">
        <x:v>Direct satellite-network measurement route. Check overlaps with existing UVic, Osnabrück and TUM nodes before claiming independent evidence.</x:v>
      </x:c>
      <x:c r="C10" s="250"/>
      <x:c r="D10" s="250"/>
      <x:c r="E10" s="250"/>
      <x:c r="F10" s="250"/>
      <x:c r="G10" s="250"/>
    </x:row>
    <x:row r="11" ht="58" customHeight="1">
      <x:c r="A11" s="248" t="str">
        <x:v>Specific request</x:v>
      </x:c>
      <x:c r="B11" s="243" t="str">
        <x:v>Please identify existing public measurement IDs/files, observation periods, cadence, endpoints, outage/missing-data definitions and reuse terms.</x:v>
      </x:c>
      <x:c r="C11" s="243"/>
      <x:c r="D11" s="243"/>
      <x:c r="E11" s="243"/>
      <x:c r="F11" s="243"/>
      <x:c r="G11" s="243"/>
    </x:row>
    <x:row r="12" ht="58" customHeight="1">
      <x:c r="A12" s="249" t="str">
        <x:v>Dataset / project</x:v>
      </x:c>
      <x:c r="B12" s="250" t="str">
        <x:v>https://leoscope.surrey.ac.uk/</x:v>
      </x:c>
      <x:c r="C12" s="250"/>
      <x:c r="D12" s="250"/>
      <x:c r="E12" s="250"/>
      <x:c r="F12" s="250"/>
      <x:c r="G12" s="250"/>
    </x:row>
    <x:row r="13" ht="32" customHeight="1">
      <x:c r="A13" s="248" t="str">
        <x:v>Contact evidence</x:v>
      </x:c>
      <x:c r="B13" s="243" t="str">
        <x:v>https://leoscope.surrey.ac.uk/</x:v>
      </x:c>
      <x:c r="C13" s="243"/>
      <x:c r="D13" s="243"/>
      <x:c r="E13" s="243"/>
      <x:c r="F13" s="243"/>
      <x:c r="G13" s="243"/>
    </x:row>
    <x:row r="14" ht="32" customHeight="1">
      <x:c r="A14" s="249" t="str">
        <x:v>Status / date</x:v>
      </x:c>
      <x:c r="B14" s="250" t="str">
        <x:v>Candidate — not contacted in this update — 14 Sep 2026</x:v>
      </x:c>
      <x:c r="C14" s="250"/>
      <x:c r="D14" s="250"/>
      <x:c r="E14" s="250"/>
      <x:c r="F14" s="250"/>
      <x:c r="G14" s="250"/>
    </x:row>
    <x:row r="15" ht="28" customHeight="1">
      <x:c r="A15" s="243"/>
      <x:c r="B15" s="243"/>
      <x:c r="C15" s="243"/>
      <x:c r="D15" s="243"/>
      <x:c r="E15" s="243"/>
      <x:c r="F15" s="243"/>
      <x:c r="G15" s="243"/>
    </x:row>
    <x:row r="16" ht="34" customHeight="1">
      <x:c r="A16" s="247" t="str">
        <x:v>1 | Sweden — Karlstad University — Computer Science</x:v>
      </x:c>
      <x:c r="B16" s="247"/>
      <x:c r="C16" s="247"/>
      <x:c r="D16" s="247"/>
      <x:c r="E16" s="247"/>
      <x:c r="F16" s="247"/>
      <x:c r="G16" s="247"/>
    </x:row>
    <x:row r="17" ht="32" customHeight="1">
      <x:c r="A17" s="249" t="str">
        <x:v>Named contact</x:v>
      </x:c>
      <x:c r="B17" s="250" t="str">
        <x:v>Johan Garcia; dataset co-creator Simon Sundberg</x:v>
      </x:c>
      <x:c r="C17" s="250"/>
      <x:c r="D17" s="250"/>
      <x:c r="E17" s="250"/>
      <x:c r="F17" s="250"/>
      <x:c r="G17" s="250"/>
    </x:row>
    <x:row r="18" ht="32" customHeight="1">
      <x:c r="A18" s="248" t="str">
        <x:v>Published email</x:v>
      </x:c>
      <x:c r="B18" s="243" t="str">
        <x:v>johan.garcia@kau.se</x:v>
      </x:c>
      <x:c r="C18" s="243"/>
      <x:c r="D18" s="243"/>
      <x:c r="E18" s="243"/>
      <x:c r="F18" s="243"/>
      <x:c r="G18" s="243"/>
    </x:row>
    <x:row r="19" ht="58" customHeight="1">
      <x:c r="A19" s="249" t="str">
        <x:v>Data / coverage</x:v>
      </x:c>
      <x:c r="B19" s="250" t="str">
        <x:v>Starlink uplink/downlink one-way delay, April 2025, Karlstad. 1,437 files per direction; sequence number, relative send timestamp and one-way delay in nanoseconds. Published archive: 5.9 GB.</x:v>
      </x:c>
      <x:c r="C19" s="250"/>
      <x:c r="D19" s="250"/>
      <x:c r="E19" s="250"/>
      <x:c r="F19" s="250"/>
      <x:c r="G19" s="250"/>
    </x:row>
    <x:row r="20" ht="58" customHeight="1">
      <x:c r="A20" s="248" t="str">
        <x:v>Access / limits</x:v>
      </x:c>
      <x:c r="B20" s="243" t="str">
        <x:v>Public Zenodo dataset and README identified. Bulk files not downloaded or screened; dataset-specific licence still to record.</x:v>
      </x:c>
      <x:c r="C20" s="243"/>
      <x:c r="D20" s="243"/>
      <x:c r="E20" s="243"/>
      <x:c r="F20" s="243"/>
      <x:c r="G20" s="243"/>
    </x:row>
    <x:row r="21" ht="58" customHeight="1">
      <x:c r="A21" s="249" t="str">
        <x:v>DES role</x:v>
      </x:c>
      <x:c r="B21" s="250" t="str">
        <x:v>High-precision latency/asymmetry inputs. Missing sequence numbers may reflect timestamp-readout failure, not packet loss. Not an established uptime/outage table.</x:v>
      </x:c>
      <x:c r="C21" s="250"/>
      <x:c r="D21" s="250"/>
      <x:c r="E21" s="250"/>
      <x:c r="F21" s="250"/>
      <x:c r="G21" s="250"/>
    </x:row>
    <x:row r="22" ht="58" customHeight="1">
      <x:c r="A22" s="248" t="str">
        <x:v>Specific request</x:v>
      </x:c>
      <x:c r="B22" s="243" t="str">
        <x:v>Request a small paired uplink/downlink sample, absolute-time mapping, failure flags and any separately shareable interruption/recovery/queueing measurements.</x:v>
      </x:c>
      <x:c r="C22" s="243"/>
      <x:c r="D22" s="243"/>
      <x:c r="E22" s="243"/>
      <x:c r="F22" s="243"/>
      <x:c r="G22" s="243"/>
    </x:row>
    <x:row r="23" ht="58" customHeight="1">
      <x:c r="A23" s="249" t="str">
        <x:v>Dataset / project</x:v>
      </x:c>
      <x:c r="B23" s="250" t="str">
        <x:v>https://zenodo.org/records/16275284
https://doi.org/10.1145/3748749.3749090</x:v>
      </x:c>
      <x:c r="C23" s="250"/>
      <x:c r="D23" s="250"/>
      <x:c r="E23" s="250"/>
      <x:c r="F23" s="250"/>
      <x:c r="G23" s="250"/>
    </x:row>
    <x:row r="24" ht="32" customHeight="1">
      <x:c r="A24" s="248" t="str">
        <x:v>Contact evidence</x:v>
      </x:c>
      <x:c r="B24" s="243" t="str">
        <x:v>https://www.kau.se/en/researchers/johan-garcia</x:v>
      </x:c>
      <x:c r="C24" s="243"/>
      <x:c r="D24" s="243"/>
      <x:c r="E24" s="243"/>
      <x:c r="F24" s="243"/>
      <x:c r="G24" s="243"/>
    </x:row>
    <x:row r="25" ht="32" customHeight="1">
      <x:c r="A25" s="249" t="str">
        <x:v>Status / date</x:v>
      </x:c>
      <x:c r="B25" s="250" t="str">
        <x:v>Candidate — public data release identified; not contacted — 14 Sep 2026</x:v>
      </x:c>
      <x:c r="C25" s="250"/>
      <x:c r="D25" s="250"/>
      <x:c r="E25" s="250"/>
      <x:c r="F25" s="250"/>
      <x:c r="G25" s="250"/>
    </x:row>
    <x:row r="26" ht="28" customHeight="1">
      <x:c r="A26" s="243"/>
      <x:c r="B26" s="243"/>
      <x:c r="C26" s="243"/>
      <x:c r="D26" s="243"/>
      <x:c r="E26" s="243"/>
      <x:c r="F26" s="243"/>
      <x:c r="G26" s="243"/>
    </x:row>
    <x:row r="27" ht="34" customHeight="1">
      <x:c r="A27" s="247" t="str">
        <x:v>2 | Greece — Hellenic Telecommunications Organization (OTE) — NEXASPHERE</x:v>
      </x:c>
      <x:c r="B27" s="247"/>
      <x:c r="C27" s="247"/>
      <x:c r="D27" s="247"/>
      <x:c r="E27" s="247"/>
      <x:c r="F27" s="247"/>
      <x:c r="G27" s="247"/>
    </x:row>
    <x:row r="28" ht="32" customHeight="1">
      <x:c r="A28" s="249" t="str">
        <x:v>Named contact</x:v>
      </x:c>
      <x:c r="B28" s="250" t="str">
        <x:v>George Lyberopoulos; Eleni Theodoropoulou; George Pappas</x:v>
      </x:c>
      <x:c r="C28" s="250"/>
      <x:c r="D28" s="250"/>
      <x:c r="E28" s="250"/>
      <x:c r="F28" s="250"/>
      <x:c r="G28" s="250"/>
    </x:row>
    <x:row r="29" ht="32" customHeight="1">
      <x:c r="A29" s="248" t="str">
        <x:v>Published email</x:v>
      </x:c>
      <x:c r="B29" s="243" t="str">
        <x:v>glimperop@cosmote.gr; etheodorop@cosmote.gr</x:v>
      </x:c>
      <x:c r="C29" s="243"/>
      <x:c r="D29" s="243"/>
      <x:c r="E29" s="243"/>
      <x:c r="F29" s="243"/>
      <x:c r="G29" s="243"/>
    </x:row>
    <x:row r="30" ht="58" customHeight="1">
      <x:c r="A30" s="249" t="str">
        <x:v>Data / coverage</x:v>
      </x:c>
      <x:c r="B30" s="250" t="str">
        <x:v>Seven-day Athens Starlink campaign, 11–18 May 2026: 8,857 latency cycles and 1,772 throughput cycles. CSV/JSON with RTT, jitter, throughput and dish telemetry; 6.4 MB measurement ZIP.</x:v>
      </x:c>
      <x:c r="C30" s="250"/>
      <x:c r="D30" s="250"/>
      <x:c r="E30" s="250"/>
      <x:c r="F30" s="250"/>
      <x:c r="G30" s="250"/>
    </x:row>
    <x:row r="31" ht="58" customHeight="1">
      <x:c r="A31" s="248" t="str">
        <x:v>Access / limits</x:v>
      </x:c>
      <x:c r="B31" s="243" t="str">
        <x:v>Public Zenodo files identified; no file-level validation performed. Contact addresses are published consortium routes; current deliverability not tested.</x:v>
      </x:c>
      <x:c r="C31" s="243"/>
      <x:c r="D31" s="243"/>
      <x:c r="E31" s="243"/>
      <x:c r="F31" s="243"/>
      <x:c r="G31" s="243"/>
    </x:row>
    <x:row r="32" ht="58" customHeight="1">
      <x:c r="A32" s="249" t="str">
        <x:v>DES role</x:v>
      </x:c>
      <x:c r="B32" s="250" t="str">
        <x:v>Compact initial import and nominal baseline. Repository reports 100% connectivity, so do not call this outage-rich or assume complete sampling from that headline.</x:v>
      </x:c>
      <x:c r="C32" s="250"/>
      <x:c r="D32" s="250"/>
      <x:c r="E32" s="250"/>
      <x:c r="F32" s="250"/>
      <x:c r="G32" s="250"/>
    </x:row>
    <x:row r="33" ht="58" customHeight="1">
      <x:c r="A33" s="248" t="str">
        <x:v>Specific request</x:v>
      </x:c>
      <x:c r="B33" s="243" t="str">
        <x:v>Request schema/units, interpretation of availability and missing cycles, packet-loss fields and any additional impaired/outage measurement windows.</x:v>
      </x:c>
      <x:c r="C33" s="243"/>
      <x:c r="D33" s="243"/>
      <x:c r="E33" s="243"/>
      <x:c r="F33" s="243"/>
      <x:c r="G33" s="243"/>
    </x:row>
    <x:row r="34" ht="58" customHeight="1">
      <x:c r="A34" s="249" t="str">
        <x:v>Dataset / project</x:v>
      </x:c>
      <x:c r="B34" s="250" t="str">
        <x:v>https://zenodo.org/records/20796667
https://nexasphere.eu/</x:v>
      </x:c>
      <x:c r="C34" s="250"/>
      <x:c r="D34" s="250"/>
      <x:c r="E34" s="250"/>
      <x:c r="F34" s="250"/>
      <x:c r="G34" s="250"/>
    </x:row>
    <x:row r="35" ht="32" customHeight="1">
      <x:c r="A35" s="248" t="str">
        <x:v>Contact evidence</x:v>
      </x:c>
      <x:c r="B35" s="243" t="str">
        <x:v>https://quantum-uniqorn.eu/cosmote-kinites-tilepikoinonies-a-e-greece-cosm/</x:v>
      </x:c>
      <x:c r="C35" s="243"/>
      <x:c r="D35" s="243"/>
      <x:c r="E35" s="243"/>
      <x:c r="F35" s="243"/>
      <x:c r="G35" s="243"/>
    </x:row>
    <x:row r="36" ht="32" customHeight="1">
      <x:c r="A36" s="249" t="str">
        <x:v>Status / date</x:v>
      </x:c>
      <x:c r="B36" s="250" t="str">
        <x:v>Candidate — public data release identified; not contacted — 14 Sep 2026</x:v>
      </x:c>
      <x:c r="C36" s="250"/>
      <x:c r="D36" s="250"/>
      <x:c r="E36" s="250"/>
      <x:c r="F36" s="250"/>
      <x:c r="G36" s="250"/>
    </x:row>
    <x:row r="37" ht="28" customHeight="1">
      <x:c r="A37" s="243"/>
      <x:c r="B37" s="243"/>
      <x:c r="C37" s="243"/>
      <x:c r="D37" s="243"/>
      <x:c r="E37" s="243"/>
      <x:c r="F37" s="243"/>
      <x:c r="G37" s="243"/>
    </x:row>
    <x:row r="38" ht="34" customHeight="1">
      <x:c r="A38" s="247" t="str">
        <x:v>3 | Italy — Politecnico di Torino — SmartData / Telecommunication Networks Group</x:v>
      </x:c>
      <x:c r="B38" s="247"/>
      <x:c r="C38" s="247"/>
      <x:c r="D38" s="247"/>
      <x:c r="E38" s="247"/>
      <x:c r="F38" s="247"/>
      <x:c r="G38" s="247"/>
    </x:row>
    <x:row r="39" ht="32" customHeight="1">
      <x:c r="A39" s="249" t="str">
        <x:v>Named contact</x:v>
      </x:c>
      <x:c r="B39" s="250" t="str">
        <x:v>Martino Trevisan — dataset/paper coauthor</x:v>
      </x:c>
      <x:c r="C39" s="250"/>
      <x:c r="D39" s="250"/>
      <x:c r="E39" s="250"/>
      <x:c r="F39" s="250"/>
      <x:c r="G39" s="250"/>
    </x:row>
    <x:row r="40" ht="32" customHeight="1">
      <x:c r="A40" s="248" t="str">
        <x:v>Published email</x:v>
      </x:c>
      <x:c r="B40" s="243" t="str">
        <x:v>martino.trevisan@polito.it</x:v>
      </x:c>
      <x:c r="C40" s="243"/>
      <x:c r="D40" s="243"/>
      <x:c r="E40" s="243"/>
      <x:c r="F40" s="243"/>
      <x:c r="G40" s="243"/>
    </x:row>
    <x:row r="41" ht="58" customHeight="1">
      <x:c r="A41" s="249" t="str">
        <x:v>Data / coverage</x:v>
      </x:c>
      <x:c r="B41" s="250" t="str">
        <x:v>A First Look at Starlink Performance: RTT, packet loss and TCP/QUIC throughput under idle and loaded conditions; comparison with GEO satellite access. Per-experiment JSON-lines data with metadata is described.</x:v>
      </x:c>
      <x:c r="C41" s="250"/>
      <x:c r="D41" s="250"/>
      <x:c r="E41" s="250"/>
      <x:c r="F41" s="250"/>
      <x:c r="G41" s="250"/>
    </x:row>
    <x:row r="42" ht="58" customHeight="1">
      <x:c r="A42" s="248" t="str">
        <x:v>Access / limits</x:v>
      </x:c>
      <x:c r="B42" s="243" t="str">
        <x:v>University open-data page publishes a download route. Raw archive accessibility/file completeness not tested. Landing page contains an inconsistent conference-year statement; retain 2022 paper year from institutional publication record.</x:v>
      </x:c>
      <x:c r="C42" s="243"/>
      <x:c r="D42" s="243"/>
      <x:c r="E42" s="243"/>
      <x:c r="F42" s="243"/>
      <x:c r="G42" s="243"/>
    </x:row>
    <x:row r="43" ht="58" customHeight="1">
      <x:c r="A43" s="249" t="str">
        <x:v>DES role</x:v>
      </x:c>
      <x:c r="B43" s="250" t="str">
        <x:v>Useful load/latency/bottleneck behavior, not necessarily a long continuous service-availability log. Institution country is Italy; do not assume every measurement occurred there.</x:v>
      </x:c>
      <x:c r="C43" s="250"/>
      <x:c r="D43" s="250"/>
      <x:c r="E43" s="250"/>
      <x:c r="F43" s="250"/>
      <x:c r="G43" s="250"/>
    </x:row>
    <x:row r="44" ht="58" customHeight="1">
      <x:c r="A44" s="248" t="str">
        <x:v>Specific request</x:v>
      </x:c>
      <x:c r="B44" s="243" t="str">
        <x:v>Request current raw archive, small idle/loaded samples, probe failures, sampling intervals and any directly measured queueing or outage/recovery fields.</x:v>
      </x:c>
      <x:c r="C44" s="243"/>
      <x:c r="D44" s="243"/>
      <x:c r="E44" s="243"/>
      <x:c r="F44" s="243"/>
      <x:c r="G44" s="243"/>
    </x:row>
    <x:row r="45" ht="58" customHeight="1">
      <x:c r="A45" s="249" t="str">
        <x:v>Dataset / project</x:v>
      </x:c>
      <x:c r="B45" s="250" t="str">
        <x:v>https://smartdata.polito.it/a-first-look-at-starlink-performance-open-data/</x:v>
      </x:c>
      <x:c r="C45" s="250"/>
      <x:c r="D45" s="250"/>
      <x:c r="E45" s="250"/>
      <x:c r="F45" s="250"/>
      <x:c r="G45" s="250"/>
    </x:row>
    <x:row r="46" ht="32" customHeight="1">
      <x:c r="A46" s="248" t="str">
        <x:v>Contact evidence</x:v>
      </x:c>
      <x:c r="B46" s="243" t="str">
        <x:v>https://www.telematica.polito.it/member/martino-trevisan/</x:v>
      </x:c>
      <x:c r="C46" s="243"/>
      <x:c r="D46" s="243"/>
      <x:c r="E46" s="243"/>
      <x:c r="F46" s="243"/>
      <x:c r="G46" s="243"/>
    </x:row>
    <x:row r="47" ht="32" customHeight="1">
      <x:c r="A47" s="249" t="str">
        <x:v>Status / date</x:v>
      </x:c>
      <x:c r="B47" s="250" t="str">
        <x:v>Candidate — public data route identified; not contacted — 14 Sep 2026</x:v>
      </x:c>
      <x:c r="C47" s="250"/>
      <x:c r="D47" s="250"/>
      <x:c r="E47" s="250"/>
      <x:c r="F47" s="250"/>
      <x:c r="G47" s="250"/>
    </x:row>
    <x:row r="48" ht="28" customHeight="1">
      <x:c r="A48" s="243"/>
      <x:c r="B48" s="243"/>
      <x:c r="C48" s="243"/>
      <x:c r="D48" s="243"/>
      <x:c r="E48" s="243"/>
      <x:c r="F48" s="243"/>
      <x:c r="G48" s="243"/>
    </x:row>
    <x:row r="49" ht="34" customHeight="1">
      <x:c r="A49" s="247" t="str">
        <x:v>4 | Brazil — Universidade Federal Fluminense — MídiaCom / PPGEET</x:v>
      </x:c>
      <x:c r="B49" s="247"/>
      <x:c r="C49" s="247"/>
      <x:c r="D49" s="247"/>
      <x:c r="E49" s="247"/>
      <x:c r="F49" s="247"/>
      <x:c r="G49" s="247"/>
    </x:row>
    <x:row r="50" ht="32" customHeight="1">
      <x:c r="A50" s="249" t="str">
        <x:v>Named contact</x:v>
      </x:c>
      <x:c r="B50" s="250" t="str">
        <x:v>Nicollas Rodrigues de Oliveira; Diogo Menezes Ferrazani Mattos</x:v>
      </x:c>
      <x:c r="C50" s="250"/>
      <x:c r="D50" s="250"/>
      <x:c r="E50" s="250"/>
      <x:c r="F50" s="250"/>
      <x:c r="G50" s="250"/>
    </x:row>
    <x:row r="51" ht="32" customHeight="1">
      <x:c r="A51" s="248" t="str">
        <x:v>Published email</x:v>
      </x:c>
      <x:c r="B51" s="243" t="str">
        <x:v>nicollas_rodrigues@id.uff.br; menezes@midiacom.uff.br</x:v>
      </x:c>
      <x:c r="C51" s="243"/>
      <x:c r="D51" s="243"/>
      <x:c r="E51" s="243"/>
      <x:c r="F51" s="243"/>
      <x:c r="G51" s="243"/>
    </x:row>
    <x:row r="52" ht="58" customHeight="1">
      <x:c r="A52" s="249" t="str">
        <x:v>Data / coverage</x:v>
      </x:c>
      <x:c r="B52" s="250" t="str">
        <x:v>Mobile Starlink measurements in Brazil; published study reports latency, jitter, packet loss, throughput, obstruction-related telemetry, position/altitude and power observations.</x:v>
      </x:c>
      <x:c r="C52" s="250"/>
      <x:c r="D52" s="250"/>
      <x:c r="E52" s="250"/>
      <x:c r="F52" s="250"/>
      <x:c r="G52" s="250"/>
    </x:row>
    <x:row r="53" ht="58" customHeight="1">
      <x:c r="A53" s="248" t="str">
        <x:v>Access / limits</x:v>
      </x:c>
      <x:c r="B53" s="243" t="str">
        <x:v>Paper supplies dataset DOI 10.34740/kaggle/dsv/13069525. Kaggle page linked; files not downloaded. Paper's generic data-availability sentence contradicts its dataset footnote; resolve version/coverage with authors.</x:v>
      </x:c>
      <x:c r="C53" s="243"/>
      <x:c r="D53" s="243"/>
      <x:c r="E53" s="243"/>
      <x:c r="F53" s="243"/>
      <x:c r="G53" s="243"/>
    </x:row>
    <x:row r="54" ht="58" customHeight="1">
      <x:c r="A54" s="249" t="str">
        <x:v>DES role</x:v>
      </x:c>
      <x:c r="B54" s="250" t="str">
        <x:v>Direct Southern Hemisphere network behavior and obstruction/mobility cases. Screening must establish whether interruptions can support a defined downtime/recovery measure.</x:v>
      </x:c>
      <x:c r="C54" s="250"/>
      <x:c r="D54" s="250"/>
      <x:c r="E54" s="250"/>
      <x:c r="F54" s="250"/>
      <x:c r="G54" s="250"/>
    </x:row>
    <x:row r="55" ht="58" customHeight="1">
      <x:c r="A55" s="248" t="str">
        <x:v>Specific request</x:v>
      </x:c>
      <x:c r="B55" s="243" t="str">
        <x:v>Confirm dataset version and available timestamped performance/obstruction fields; clarify the contradictory availability statement and public research/redistribution terms.</x:v>
      </x:c>
      <x:c r="C55" s="243"/>
      <x:c r="D55" s="243"/>
      <x:c r="E55" s="243"/>
      <x:c r="F55" s="243"/>
      <x:c r="G55" s="243"/>
    </x:row>
    <x:row r="56" ht="58" customHeight="1">
      <x:c r="A56" s="249" t="str">
        <x:v>Dataset / project</x:v>
      </x:c>
      <x:c r="B56" s="250" t="str">
        <x:v>https://www.kaggle.com/datasets/ferrazani/mobile-leo-satellite-access-network
https://doi.org/10.1007/s12243-026-01189-2</x:v>
      </x:c>
      <x:c r="C56" s="250"/>
      <x:c r="D56" s="250"/>
      <x:c r="E56" s="250"/>
      <x:c r="F56" s="250"/>
      <x:c r="G56" s="250"/>
    </x:row>
    <x:row r="57" ht="32" customHeight="1">
      <x:c r="A57" s="248" t="str">
        <x:v>Contact evidence</x:v>
      </x:c>
      <x:c r="B57" s="243" t="str">
        <x:v>https://ppgeet.uff.br/index.php/docentes/</x:v>
      </x:c>
      <x:c r="C57" s="243"/>
      <x:c r="D57" s="243"/>
      <x:c r="E57" s="243"/>
      <x:c r="F57" s="243"/>
      <x:c r="G57" s="243"/>
    </x:row>
    <x:row r="58" ht="32" customHeight="1">
      <x:c r="A58" s="249" t="str">
        <x:v>Status / date</x:v>
      </x:c>
      <x:c r="B58" s="250" t="str">
        <x:v>Candidate — published data pointer; access/metadata checks open — 14 Sep 2026</x:v>
      </x:c>
      <x:c r="C58" s="250"/>
      <x:c r="D58" s="250"/>
      <x:c r="E58" s="250"/>
      <x:c r="F58" s="250"/>
      <x:c r="G58" s="250"/>
    </x:row>
    <x:row r="59" ht="28" customHeight="1">
      <x:c r="A59" s="243"/>
      <x:c r="B59" s="243"/>
      <x:c r="C59" s="243"/>
      <x:c r="D59" s="243"/>
      <x:c r="E59" s="243"/>
      <x:c r="F59" s="243"/>
      <x:c r="G59" s="243"/>
    </x:row>
    <x:row r="60" ht="34" customHeight="1">
      <x:c r="A60" s="247" t="str">
        <x:v>5 | Finland — VTT Technical Research Centre of Finland / University of Oulu</x:v>
      </x:c>
      <x:c r="B60" s="247"/>
      <x:c r="C60" s="247"/>
      <x:c r="D60" s="247"/>
      <x:c r="E60" s="247"/>
      <x:c r="F60" s="247"/>
      <x:c r="G60" s="247"/>
    </x:row>
    <x:row r="61" ht="32" customHeight="1">
      <x:c r="A61" s="249" t="str">
        <x:v>Named contact</x:v>
      </x:c>
      <x:c r="B61" s="250" t="str">
        <x:v>Harri Saarnisaari — University of Oulu; substantive provider reply received 23 Sep 2026</x:v>
      </x:c>
      <x:c r="C61" s="250"/>
      <x:c r="D61" s="250"/>
      <x:c r="E61" s="250"/>
      <x:c r="F61" s="250"/>
      <x:c r="G61" s="250"/>
    </x:row>
    <x:row r="62" ht="32" customHeight="1">
      <x:c r="A62" s="248" t="str">
        <x:v>Published email</x:v>
      </x:c>
      <x:c r="B62" s="243" t="str">
        <x:v>asad.ullah@vtt.fi</x:v>
      </x:c>
      <x:c r="C62" s="243"/>
      <x:c r="D62" s="243"/>
      <x:c r="E62" s="243"/>
      <x:c r="F62" s="243"/>
      <x:c r="G62" s="243"/>
    </x:row>
    <x:row r="63" ht="58" customHeight="1">
      <x:c r="A63" s="249" t="str">
        <x:v>Data / coverage</x:v>
      </x:c>
      <x:c r="B63" s="250" t="str">
        <x:v>Starlink stationary/mobile tests around Oulu: RTT, uplink/downlink throughput, routing and vehicle/location data; paper documents observed obstruction-related connection outages.</x:v>
      </x:c>
      <x:c r="C63" s="250"/>
      <x:c r="D63" s="250"/>
      <x:c r="E63" s="250"/>
      <x:c r="F63" s="250"/>
      <x:c r="G63" s="250"/>
    </x:row>
    <x:row r="64" ht="58" customHeight="1">
      <x:c r="A64" s="248" t="str">
        <x:v>Access / limits</x:v>
      </x:c>
      <x:c r="B64" s="243" t="str">
        <x:v>The measurement campaign/paper is verified, but Harri Saarnisaari confirmed on 23 Sep 2026 that the underlying data are no longer available and were not saved.</x:v>
      </x:c>
      <x:c r="C64" s="243"/>
      <x:c r="D64" s="243"/>
      <x:c r="E64" s="243"/>
      <x:c r="F64" s="243"/>
      <x:c r="G64" s="243"/>
    </x:row>
    <x:row r="65" ht="58" customHeight="1">
      <x:c r="A65" s="249" t="str">
        <x:v>DES role</x:v>
      </x:c>
      <x:c r="B65" s="250" t="str">
        <x:v>Literature/context only. Do not use as a DES empirical input source unless a separate archive is independently located.</x:v>
      </x:c>
      <x:c r="C65" s="250"/>
      <x:c r="D65" s="250"/>
      <x:c r="E65" s="250"/>
      <x:c r="F65" s="250"/>
      <x:c r="G65" s="250"/>
    </x:row>
    <x:row r="66" ht="58" customHeight="1">
      <x:c r="A66" s="248" t="str">
        <x:v>Specific request</x:v>
      </x:c>
      <x:c r="B66" s="243" t="str">
        <x:v>No further data request to this lead. Retain the paper citation; close the acquisition line.</x:v>
      </x:c>
      <x:c r="C66" s="243"/>
      <x:c r="D66" s="243"/>
      <x:c r="E66" s="243"/>
      <x:c r="F66" s="243"/>
      <x:c r="G66" s="243"/>
    </x:row>
    <x:row r="67" ht="58" customHeight="1">
      <x:c r="A67" s="249" t="str">
        <x:v>Dataset / project</x:v>
      </x:c>
      <x:c r="B67" s="250" t="str">
        <x:v>https://oulurepo.oulu.fi/handle/10024/58511
https://doi.org/10.1109/MeditCom64437.2025.11104426</x:v>
      </x:c>
      <x:c r="C67" s="250"/>
      <x:c r="D67" s="250"/>
      <x:c r="E67" s="250"/>
      <x:c r="F67" s="250"/>
      <x:c r="G67" s="250"/>
    </x:row>
    <x:row r="68" ht="32" customHeight="1">
      <x:c r="A68" s="248" t="str">
        <x:v>Contact evidence</x:v>
      </x:c>
      <x:c r="B68" s="243" t="str">
        <x:v>https://arxiv.org/html/2408.09954v1</x:v>
      </x:c>
      <x:c r="C68" s="243"/>
      <x:c r="D68" s="243"/>
      <x:c r="E68" s="243"/>
      <x:c r="F68" s="243"/>
      <x:c r="G68" s="243"/>
    </x:row>
    <x:row r="69" ht="32" customHeight="1">
      <x:c r="A69" s="249" t="str">
        <x:v>Status / date</x:v>
      </x:c>
      <x:c r="B69" s="250" t="str">
        <x:v>RESPONDED 23 Sep 2026 — CLOSED / NO DATA RETAINED</x:v>
      </x:c>
      <x:c r="C69" s="250"/>
      <x:c r="D69" s="250"/>
      <x:c r="E69" s="250"/>
      <x:c r="F69" s="250"/>
      <x:c r="G69" s="250"/>
    </x:row>
    <x:row r="70" ht="28" customHeight="1">
      <x:c r="A70" s="243"/>
      <x:c r="B70" s="243"/>
      <x:c r="C70" s="243"/>
      <x:c r="D70" s="243"/>
      <x:c r="E70" s="243"/>
      <x:c r="F70" s="243"/>
      <x:c r="G70" s="243"/>
    </x:row>
    <x:row r="71" ht="28" customHeight="1">
      <x:c r="A71" s="243"/>
      <x:c r="B71" s="243"/>
      <x:c r="C71" s="243"/>
      <x:c r="D71" s="243"/>
      <x:c r="E71" s="243"/>
      <x:c r="F71" s="243"/>
      <x:c r="G71" s="243"/>
    </x:row>
    <x:row r="72" ht="28" customHeight="1">
      <x:c r="A72" s="243"/>
      <x:c r="B72" s="243"/>
      <x:c r="C72" s="243"/>
      <x:c r="D72" s="243"/>
      <x:c r="E72" s="243"/>
      <x:c r="F72" s="243"/>
      <x:c r="G72" s="243"/>
    </x:row>
    <x:row r="73" ht="28" customHeight="1">
      <x:c r="A73" s="243"/>
      <x:c r="B73" s="243"/>
      <x:c r="C73" s="243"/>
      <x:c r="D73" s="243"/>
      <x:c r="E73" s="243"/>
      <x:c r="F73" s="243"/>
      <x:c r="G73" s="243"/>
    </x:row>
    <x:row r="74" ht="28" customHeight="1">
      <x:c r="A74" s="243"/>
      <x:c r="B74" s="243"/>
      <x:c r="C74" s="243"/>
      <x:c r="D74" s="243"/>
      <x:c r="E74" s="243"/>
      <x:c r="F74" s="243"/>
      <x:c r="G74" s="243"/>
    </x:row>
    <x:row r="75" ht="28" customHeight="1">
      <x:c r="A75" s="243"/>
      <x:c r="B75" s="243"/>
      <x:c r="C75" s="243"/>
      <x:c r="D75" s="243"/>
      <x:c r="E75" s="243"/>
      <x:c r="F75" s="243"/>
      <x:c r="G75" s="243"/>
    </x:row>
    <x:row r="76" ht="28" customHeight="1">
      <x:c r="A76" s="243"/>
      <x:c r="B76" s="243"/>
      <x:c r="C76" s="243"/>
      <x:c r="D76" s="243"/>
      <x:c r="E76" s="243"/>
      <x:c r="F76" s="243"/>
      <x:c r="G76" s="243"/>
    </x:row>
    <x:row r="77" ht="28" customHeight="1">
      <x:c r="A77" s="243"/>
      <x:c r="B77" s="243"/>
      <x:c r="C77" s="243"/>
      <x:c r="D77" s="243"/>
      <x:c r="E77" s="243"/>
      <x:c r="F77" s="243"/>
      <x:c r="G77" s="243"/>
    </x:row>
    <x:row r="78" ht="28" customHeight="1">
      <x:c r="A78" s="243"/>
      <x:c r="B78" s="243"/>
      <x:c r="C78" s="243"/>
      <x:c r="D78" s="243"/>
      <x:c r="E78" s="243"/>
      <x:c r="F78" s="243"/>
      <x:c r="G78" s="243"/>
    </x:row>
    <x:row r="79" ht="28" customHeight="1">
      <x:c r="A79" s="243"/>
      <x:c r="B79" s="243"/>
      <x:c r="C79" s="243"/>
      <x:c r="D79" s="243"/>
      <x:c r="E79" s="243"/>
      <x:c r="F79" s="243"/>
      <x:c r="G79" s="243"/>
    </x:row>
    <x:row r="80" ht="28" customHeight="1">
      <x:c r="A80" s="243"/>
      <x:c r="B80" s="243"/>
      <x:c r="C80" s="243"/>
      <x:c r="D80" s="243"/>
      <x:c r="E80" s="243"/>
      <x:c r="F80" s="243"/>
      <x:c r="G80" s="243"/>
    </x:row>
    <x:row r="81" ht="28" customHeight="1">
      <x:c r="A81" s="243"/>
      <x:c r="B81" s="243"/>
      <x:c r="C81" s="243"/>
      <x:c r="D81" s="243"/>
      <x:c r="E81" s="243"/>
      <x:c r="F81" s="243"/>
      <x:c r="G81" s="243"/>
    </x:row>
    <x:row r="82" ht="28" customHeight="1">
      <x:c r="A82" s="243"/>
      <x:c r="B82" s="243"/>
      <x:c r="C82" s="243"/>
      <x:c r="D82" s="243"/>
      <x:c r="E82" s="243"/>
      <x:c r="F82" s="243"/>
      <x:c r="G82" s="243"/>
    </x:row>
    <x:row r="83" ht="28" customHeight="1">
      <x:c r="A83" s="243"/>
      <x:c r="B83" s="243"/>
      <x:c r="C83" s="243"/>
      <x:c r="D83" s="243"/>
      <x:c r="E83" s="243"/>
      <x:c r="F83" s="243"/>
      <x:c r="G83" s="243"/>
    </x:row>
    <x:row r="84" ht="28" customHeight="1">
      <x:c r="A84" s="243"/>
      <x:c r="B84" s="243"/>
      <x:c r="C84" s="243"/>
      <x:c r="D84" s="243"/>
      <x:c r="E84" s="243"/>
      <x:c r="F84" s="243"/>
      <x:c r="G84" s="243"/>
    </x:row>
    <x:row r="85" ht="28" customHeight="1">
      <x:c r="A85" s="243"/>
      <x:c r="B85" s="243"/>
      <x:c r="C85" s="243"/>
      <x:c r="D85" s="243"/>
      <x:c r="E85" s="243"/>
      <x:c r="F85" s="243"/>
      <x:c r="G85" s="243"/>
    </x:row>
    <x:row r="86" ht="28" customHeight="1">
      <x:c r="A86" s="243"/>
      <x:c r="B86" s="243"/>
      <x:c r="C86" s="243"/>
      <x:c r="D86" s="243"/>
      <x:c r="E86" s="243"/>
      <x:c r="F86" s="243"/>
      <x:c r="G86" s="243"/>
    </x:row>
    <x:row r="87" ht="28" customHeight="1">
      <x:c r="A87" s="243"/>
      <x:c r="B87" s="243"/>
      <x:c r="C87" s="243"/>
      <x:c r="D87" s="243"/>
      <x:c r="E87" s="243"/>
      <x:c r="F87" s="243"/>
      <x:c r="G87" s="243"/>
    </x:row>
    <x:row r="88" ht="28" customHeight="1">
      <x:c r="A88" s="243"/>
      <x:c r="B88" s="243"/>
      <x:c r="C88" s="243"/>
      <x:c r="D88" s="243"/>
      <x:c r="E88" s="243"/>
      <x:c r="F88" s="243"/>
      <x:c r="G88" s="243"/>
    </x:row>
    <x:row r="89" ht="28" customHeight="1">
      <x:c r="A89" s="243"/>
      <x:c r="B89" s="243"/>
      <x:c r="C89" s="243"/>
      <x:c r="D89" s="243"/>
      <x:c r="E89" s="243"/>
      <x:c r="F89" s="243"/>
      <x:c r="G89" s="243"/>
    </x:row>
    <x:row r="90" ht="28" customHeight="1">
      <x:c r="A90" s="243"/>
      <x:c r="B90" s="243"/>
      <x:c r="C90" s="243"/>
      <x:c r="D90" s="243"/>
      <x:c r="E90" s="243"/>
      <x:c r="F90" s="243"/>
      <x:c r="G90" s="243"/>
    </x:row>
    <x:row r="91" ht="28" customHeight="1">
      <x:c r="A91" s="243"/>
      <x:c r="B91" s="243"/>
      <x:c r="C91" s="243"/>
      <x:c r="D91" s="243"/>
      <x:c r="E91" s="243"/>
      <x:c r="F91" s="243"/>
      <x:c r="G91" s="243"/>
    </x:row>
    <x:row r="92" ht="28" customHeight="1">
      <x:c r="A92" s="243"/>
      <x:c r="B92" s="243"/>
      <x:c r="C92" s="243"/>
      <x:c r="D92" s="243"/>
      <x:c r="E92" s="243"/>
      <x:c r="F92" s="243"/>
      <x:c r="G92" s="243"/>
    </x:row>
    <x:row r="93" ht="28" customHeight="1">
      <x:c r="A93" s="243"/>
      <x:c r="B93" s="243"/>
      <x:c r="C93" s="243"/>
      <x:c r="D93" s="243"/>
      <x:c r="E93" s="243"/>
      <x:c r="F93" s="243"/>
      <x:c r="G93" s="243"/>
    </x:row>
    <x:row r="94" ht="28" customHeight="1">
      <x:c r="A94" s="243"/>
      <x:c r="B94" s="243"/>
      <x:c r="C94" s="243"/>
      <x:c r="D94" s="243"/>
      <x:c r="E94" s="243"/>
      <x:c r="F94" s="243"/>
      <x:c r="G94" s="243"/>
    </x:row>
    <x:row r="95" ht="28" customHeight="1">
      <x:c r="A95" s="243"/>
      <x:c r="B95" s="243"/>
      <x:c r="C95" s="243"/>
      <x:c r="D95" s="243"/>
      <x:c r="E95" s="243"/>
      <x:c r="F95" s="243"/>
      <x:c r="G95" s="243"/>
    </x:row>
    <x:row r="96" ht="28" customHeight="1">
      <x:c r="A96" s="243"/>
      <x:c r="B96" s="243"/>
      <x:c r="C96" s="243"/>
      <x:c r="D96" s="243"/>
      <x:c r="E96" s="243"/>
      <x:c r="F96" s="243"/>
      <x:c r="G96" s="243"/>
    </x:row>
    <x:row r="97" ht="28" customHeight="1">
      <x:c r="A97" s="243"/>
      <x:c r="B97" s="243"/>
      <x:c r="C97" s="243"/>
      <x:c r="D97" s="243"/>
      <x:c r="E97" s="243"/>
      <x:c r="F97" s="243"/>
      <x:c r="G97" s="243"/>
    </x:row>
    <x:row r="98" ht="28" customHeight="1">
      <x:c r="A98" s="243"/>
      <x:c r="B98" s="243"/>
      <x:c r="C98" s="243"/>
      <x:c r="D98" s="243"/>
      <x:c r="E98" s="243"/>
      <x:c r="F98" s="243"/>
      <x:c r="G98" s="243"/>
    </x:row>
    <x:row r="99" ht="28" customHeight="1">
      <x:c r="A99" s="243"/>
      <x:c r="B99" s="243"/>
      <x:c r="C99" s="243"/>
      <x:c r="D99" s="243"/>
      <x:c r="E99" s="243"/>
      <x:c r="F99" s="243"/>
      <x:c r="G99" s="243"/>
    </x:row>
    <x:row r="100" ht="28" customHeight="1">
      <x:c r="A100" s="243"/>
      <x:c r="B100" s="243"/>
      <x:c r="C100" s="243"/>
      <x:c r="D100" s="243"/>
      <x:c r="E100" s="243"/>
      <x:c r="F100" s="243"/>
      <x:c r="G100" s="243"/>
    </x:row>
    <x:row r="101" ht="28" customHeight="1">
      <x:c r="A101" s="243"/>
      <x:c r="B101" s="243"/>
      <x:c r="C101" s="243"/>
      <x:c r="D101" s="243"/>
      <x:c r="E101" s="243"/>
      <x:c r="F101" s="243"/>
      <x:c r="G101" s="243"/>
    </x:row>
    <x:row r="102" ht="28" customHeight="1">
      <x:c r="A102" s="243"/>
      <x:c r="B102" s="243"/>
      <x:c r="C102" s="243"/>
      <x:c r="D102" s="243"/>
      <x:c r="E102" s="243"/>
      <x:c r="F102" s="243"/>
      <x:c r="G102" s="243"/>
    </x:row>
    <x:row r="103" ht="28" customHeight="1">
      <x:c r="A103" s="243"/>
      <x:c r="B103" s="243"/>
      <x:c r="C103" s="243"/>
      <x:c r="D103" s="243"/>
      <x:c r="E103" s="243"/>
      <x:c r="F103" s="243"/>
      <x:c r="G103" s="243"/>
    </x:row>
    <x:row r="104" ht="28" customHeight="1">
      <x:c r="A104" s="243"/>
      <x:c r="B104" s="243"/>
      <x:c r="C104" s="243"/>
      <x:c r="D104" s="243"/>
      <x:c r="E104" s="243"/>
      <x:c r="F104" s="243"/>
      <x:c r="G104" s="243"/>
    </x:row>
    <x:row r="105" ht="28" customHeight="1">
      <x:c r="A105" s="243"/>
      <x:c r="B105" s="243"/>
      <x:c r="C105" s="243"/>
      <x:c r="D105" s="243"/>
      <x:c r="E105" s="243"/>
      <x:c r="F105" s="243"/>
      <x:c r="G105" s="243"/>
    </x:row>
    <x:row r="106" ht="28" customHeight="1">
      <x:c r="A106" s="243"/>
      <x:c r="B106" s="243"/>
      <x:c r="C106" s="243"/>
      <x:c r="D106" s="243"/>
      <x:c r="E106" s="243"/>
      <x:c r="F106" s="243"/>
      <x:c r="G106" s="243"/>
    </x:row>
    <x:row r="107" ht="28" customHeight="1">
      <x:c r="A107" s="243"/>
      <x:c r="B107" s="243"/>
      <x:c r="C107" s="243"/>
      <x:c r="D107" s="243"/>
      <x:c r="E107" s="243"/>
      <x:c r="F107" s="243"/>
      <x:c r="G107" s="243"/>
    </x:row>
    <x:row r="108" ht="28" customHeight="1">
      <x:c r="A108" s="243"/>
      <x:c r="B108" s="243"/>
      <x:c r="C108" s="243"/>
      <x:c r="D108" s="243"/>
      <x:c r="E108" s="243"/>
      <x:c r="F108" s="243"/>
      <x:c r="G108" s="243"/>
    </x:row>
    <x:row r="109" ht="28" customHeight="1">
      <x:c r="A109" s="243"/>
      <x:c r="B109" s="243"/>
      <x:c r="C109" s="243"/>
      <x:c r="D109" s="243"/>
      <x:c r="E109" s="243"/>
      <x:c r="F109" s="243"/>
      <x:c r="G109" s="243"/>
    </x:row>
    <x:row r="110" ht="28" customHeight="1">
      <x:c r="A110" s="243"/>
      <x:c r="B110" s="243"/>
      <x:c r="C110" s="243"/>
      <x:c r="D110" s="243"/>
      <x:c r="E110" s="243"/>
      <x:c r="F110" s="243"/>
      <x:c r="G110" s="243"/>
    </x:row>
    <x:row r="111" ht="28" customHeight="1">
      <x:c r="A111" s="243"/>
      <x:c r="B111" s="243"/>
      <x:c r="C111" s="243"/>
      <x:c r="D111" s="243"/>
      <x:c r="E111" s="243"/>
      <x:c r="F111" s="243"/>
      <x:c r="G111" s="243"/>
    </x:row>
    <x:row r="112" ht="28" customHeight="1">
      <x:c r="A112" s="243"/>
      <x:c r="B112" s="243"/>
      <x:c r="C112" s="243"/>
      <x:c r="D112" s="243"/>
      <x:c r="E112" s="243"/>
      <x:c r="F112" s="243"/>
      <x:c r="G112" s="243"/>
    </x:row>
    <x:row r="113" ht="28" customHeight="1">
      <x:c r="A113" s="243"/>
      <x:c r="B113" s="243"/>
      <x:c r="C113" s="243"/>
      <x:c r="D113" s="243"/>
      <x:c r="E113" s="243"/>
      <x:c r="F113" s="243"/>
      <x:c r="G113" s="243"/>
    </x:row>
    <x:row r="114" ht="28" customHeight="1">
      <x:c r="A114" s="243"/>
      <x:c r="B114" s="243"/>
      <x:c r="C114" s="243"/>
      <x:c r="D114" s="243"/>
      <x:c r="E114" s="243"/>
      <x:c r="F114" s="243"/>
      <x:c r="G114" s="243"/>
    </x:row>
    <x:row r="115" ht="28" customHeight="1">
      <x:c r="A115" s="243"/>
      <x:c r="B115" s="243"/>
      <x:c r="C115" s="243"/>
      <x:c r="D115" s="243"/>
      <x:c r="E115" s="243"/>
      <x:c r="F115" s="243"/>
      <x:c r="G115" s="243"/>
    </x:row>
    <x:row r="116" ht="28" customHeight="1">
      <x:c r="A116" s="243"/>
      <x:c r="B116" s="243"/>
      <x:c r="C116" s="243"/>
      <x:c r="D116" s="243"/>
      <x:c r="E116" s="243"/>
      <x:c r="F116" s="243"/>
      <x:c r="G116" s="243"/>
    </x:row>
    <x:row r="117" ht="28" customHeight="1">
      <x:c r="A117" s="243"/>
      <x:c r="B117" s="243"/>
      <x:c r="C117" s="243"/>
      <x:c r="D117" s="243"/>
      <x:c r="E117" s="243"/>
      <x:c r="F117" s="243"/>
      <x:c r="G117" s="243"/>
    </x:row>
    <x:row r="118" ht="28" customHeight="1">
      <x:c r="A118" s="243"/>
      <x:c r="B118" s="243"/>
      <x:c r="C118" s="243"/>
      <x:c r="D118" s="243"/>
      <x:c r="E118" s="243"/>
      <x:c r="F118" s="243"/>
      <x:c r="G118" s="243"/>
    </x:row>
    <x:row r="119" ht="28" customHeight="1">
      <x:c r="A119" s="243"/>
      <x:c r="B119" s="243"/>
      <x:c r="C119" s="243"/>
      <x:c r="D119" s="243"/>
      <x:c r="E119" s="243"/>
      <x:c r="F119" s="243"/>
      <x:c r="G119" s="243"/>
    </x:row>
    <x:row r="120" ht="28" customHeight="1">
      <x:c r="A120" s="243"/>
      <x:c r="B120" s="243"/>
      <x:c r="C120" s="243"/>
      <x:c r="D120" s="243"/>
      <x:c r="E120" s="243"/>
      <x:c r="F120" s="243"/>
      <x:c r="G120" s="243"/>
    </x:row>
    <x:row r="121" ht="28" customHeight="1">
      <x:c r="A121" s="243"/>
      <x:c r="B121" s="243"/>
      <x:c r="C121" s="243"/>
      <x:c r="D121" s="243"/>
      <x:c r="E121" s="243"/>
      <x:c r="F121" s="243"/>
      <x:c r="G121" s="243"/>
    </x:row>
    <x:row r="122" ht="28" customHeight="1">
      <x:c r="A122" s="243"/>
      <x:c r="B122" s="243"/>
      <x:c r="C122" s="243"/>
      <x:c r="D122" s="243"/>
      <x:c r="E122" s="243"/>
      <x:c r="F122" s="243"/>
      <x:c r="G122" s="243"/>
    </x:row>
    <x:row r="123" ht="28" customHeight="1">
      <x:c r="A123" s="243"/>
      <x:c r="B123" s="243"/>
      <x:c r="C123" s="243"/>
      <x:c r="D123" s="243"/>
      <x:c r="E123" s="243"/>
      <x:c r="F123" s="243"/>
      <x:c r="G123" s="243"/>
    </x:row>
    <x:row r="124" ht="28" customHeight="1">
      <x:c r="A124" s="243"/>
      <x:c r="B124" s="243"/>
      <x:c r="C124" s="243"/>
      <x:c r="D124" s="243"/>
      <x:c r="E124" s="243"/>
      <x:c r="F124" s="243"/>
      <x:c r="G124" s="243"/>
    </x:row>
    <x:row r="125" ht="28" customHeight="1">
      <x:c r="A125" s="243"/>
      <x:c r="B125" s="243"/>
      <x:c r="C125" s="243"/>
      <x:c r="D125" s="243"/>
      <x:c r="E125" s="243"/>
      <x:c r="F125" s="243"/>
      <x:c r="G125" s="243"/>
    </x:row>
    <x:row r="126" ht="28" customHeight="1">
      <x:c r="A126" s="243"/>
      <x:c r="B126" s="243"/>
      <x:c r="C126" s="243"/>
      <x:c r="D126" s="243"/>
      <x:c r="E126" s="243"/>
      <x:c r="F126" s="243"/>
      <x:c r="G126" s="243"/>
    </x:row>
    <x:row r="127" ht="28" customHeight="1">
      <x:c r="A127" s="243"/>
      <x:c r="B127" s="243"/>
      <x:c r="C127" s="243"/>
      <x:c r="D127" s="243"/>
      <x:c r="E127" s="243"/>
      <x:c r="F127" s="243"/>
      <x:c r="G127" s="243"/>
    </x:row>
    <x:row r="128" ht="28" customHeight="1">
      <x:c r="A128" s="243"/>
      <x:c r="B128" s="243"/>
      <x:c r="C128" s="243"/>
      <x:c r="D128" s="243"/>
      <x:c r="E128" s="243"/>
      <x:c r="F128" s="243"/>
      <x:c r="G128" s="243"/>
    </x:row>
    <x:row r="129" ht="28" customHeight="1">
      <x:c r="A129" s="243"/>
      <x:c r="B129" s="243"/>
      <x:c r="C129" s="243"/>
      <x:c r="D129" s="243"/>
      <x:c r="E129" s="243"/>
      <x:c r="F129" s="243"/>
      <x:c r="G129" s="243"/>
    </x:row>
    <x:row r="130" ht="28" customHeight="1">
      <x:c r="A130" s="243"/>
      <x:c r="B130" s="243"/>
      <x:c r="C130" s="243"/>
      <x:c r="D130" s="243"/>
      <x:c r="E130" s="243"/>
      <x:c r="F130" s="243"/>
      <x:c r="G130" s="243"/>
    </x:row>
  </x:sheetData>
  <x:mergeCells>
    <x:mergeCell ref="A1:G1"/>
    <x:mergeCell ref="A2:G2"/>
    <x:mergeCell ref="A3:C3"/>
    <x:mergeCell ref="D3:G3"/>
    <x:mergeCell ref="A5:G5"/>
    <x:mergeCell ref="B6:G6"/>
    <x:mergeCell ref="B7:G7"/>
    <x:mergeCell ref="B8:G8"/>
    <x:mergeCell ref="B9:G9"/>
    <x:mergeCell ref="B10:G10"/>
    <x:mergeCell ref="B11:G11"/>
    <x:mergeCell ref="B12:G12"/>
    <x:mergeCell ref="B13:G13"/>
    <x:mergeCell ref="B14:G14"/>
    <x:mergeCell ref="A16:G16"/>
    <x:mergeCell ref="B17:G17"/>
    <x:mergeCell ref="B18:G18"/>
    <x:mergeCell ref="B19:G19"/>
    <x:mergeCell ref="B20:G20"/>
    <x:mergeCell ref="B21:G21"/>
    <x:mergeCell ref="B22:G22"/>
    <x:mergeCell ref="B23:G23"/>
    <x:mergeCell ref="B24:G24"/>
    <x:mergeCell ref="B25:G25"/>
    <x:mergeCell ref="A27:G27"/>
    <x:mergeCell ref="B28:G28"/>
    <x:mergeCell ref="B29:G29"/>
    <x:mergeCell ref="B30:G30"/>
    <x:mergeCell ref="B31:G31"/>
    <x:mergeCell ref="B32:G32"/>
    <x:mergeCell ref="B33:G33"/>
    <x:mergeCell ref="B34:G34"/>
    <x:mergeCell ref="B35:G35"/>
    <x:mergeCell ref="B36:G36"/>
    <x:mergeCell ref="A38:G38"/>
    <x:mergeCell ref="B39:G39"/>
    <x:mergeCell ref="B40:G40"/>
    <x:mergeCell ref="B41:G41"/>
    <x:mergeCell ref="B42:G42"/>
    <x:mergeCell ref="B43:G43"/>
    <x:mergeCell ref="B44:G44"/>
    <x:mergeCell ref="B45:G45"/>
    <x:mergeCell ref="B46:G46"/>
    <x:mergeCell ref="B47:G47"/>
    <x:mergeCell ref="A49:G49"/>
    <x:mergeCell ref="B50:G50"/>
    <x:mergeCell ref="B51:G51"/>
    <x:mergeCell ref="B52:G52"/>
    <x:mergeCell ref="B53:G53"/>
    <x:mergeCell ref="B54:G54"/>
    <x:mergeCell ref="B55:G55"/>
    <x:mergeCell ref="B56:G56"/>
    <x:mergeCell ref="B57:G57"/>
    <x:mergeCell ref="B58:G58"/>
    <x:mergeCell ref="A60:G60"/>
    <x:mergeCell ref="B61:G61"/>
    <x:mergeCell ref="B62:G62"/>
    <x:mergeCell ref="B63:G63"/>
    <x:mergeCell ref="B64:G64"/>
    <x:mergeCell ref="B65:G65"/>
    <x:mergeCell ref="B66:G66"/>
    <x:mergeCell ref="B67:G67"/>
    <x:mergeCell ref="B68:G68"/>
    <x:mergeCell ref="B69:G69"/>
  </x:mergeCells>
  <x:pageMargins left="0.7" right="0.7" top="0.75" bottom="0.75" header="0.3" footer="0.3"/>
</x:worksheet>
</file>

<file path=xl/worksheets/sheet15.xml><?xml version="1.0" encoding="utf-8"?>
<x:worksheet xmlns:x="http://schemas.openxmlformats.org/spreadsheetml/2006/main">
  <x:sheetFormatPr defaultRowHeight="15"/>
  <x:cols>
    <x:col min="1" max="1" width="13" hidden="0" customWidth="1"/>
    <x:col min="2" max="2" width="28" hidden="0" customWidth="1"/>
    <x:col min="3" max="3" width="34" hidden="0" customWidth="1"/>
    <x:col min="4" max="4" width="30" hidden="0" customWidth="1"/>
    <x:col min="5" max="5" width="30" hidden="0" customWidth="1"/>
    <x:col min="6" max="6" width="48" hidden="0" customWidth="1"/>
  </x:cols>
  <x:sheetData>
    <x:row r="1" ht="36" customHeight="1">
      <x:c r="A1" s="245" t="str">
        <x:v>UK + five-country shortlist | Candidate intake, 14 Sep 2026</x:v>
      </x:c>
      <x:c r="B1" s="245"/>
      <x:c r="C1" s="245"/>
      <x:c r="D1" s="245"/>
      <x:c r="E1" s="245"/>
      <x:c r="F1" s="245"/>
    </x:row>
    <x:row r="2" ht="48" customHeight="1">
      <x:c r="A2" s="243" t="str">
        <x:v>Ranks concern fit and access evidence, not institutional quality. No outreach was sent in this update. Full details and contact evidence: Expansion 14 Sep.</x:v>
      </x:c>
      <x:c r="B2" s="243"/>
      <x:c r="C2" s="243"/>
      <x:c r="D2" s="243"/>
      <x:c r="E2" s="243"/>
      <x:c r="F2" s="243"/>
    </x:row>
    <x:row r="3" ht="48" customHeight="1">
      <x:c r="A3" s="243"/>
      <x:c r="B3" s="243"/>
      <x:c r="C3" s="243"/>
      <x:c r="D3" s="243"/>
      <x:c r="E3" s="243"/>
      <x:c r="F3" s="243"/>
    </x:row>
    <x:row r="4" ht="32" customHeight="1">
      <x:c r="A4" s="251" t="str">
        <x:v>Country</x:v>
      </x:c>
      <x:c r="B4" s="251" t="str">
        <x:v>Institution</x:v>
      </x:c>
      <x:c r="C4" s="251" t="str">
        <x:v>Email</x:v>
      </x:c>
      <x:c r="D4" s="251" t="str">
        <x:v>Known measurement families</x:v>
      </x:c>
      <x:c r="E4" s="251" t="str">
        <x:v>Access state</x:v>
      </x:c>
      <x:c r="F4" s="251" t="str">
        <x:v>Dataset / source</x:v>
      </x:c>
    </x:row>
    <x:row r="5" ht="104" customHeight="1">
      <x:c r="A5" s="243" t="str">
        <x:v>United Kingdom</x:v>
      </x:c>
      <x:c r="B5" s="243" t="str">
        <x:v>University of Surrey — LEOScope</x:v>
      </x:c>
      <x:c r="C5" s="243" t="str">
        <x:v>leoscopetestbed@surrey.ac.uk</x:v>
      </x:c>
      <x:c r="D5" s="243" t="str">
        <x:v>LEO/Starlink measurement testbed. Ask for existing latency, loss, throughput, interruption and recovery traces before proposing new experiments.</x:v>
      </x:c>
      <x:c r="E5" s="243" t="str">
        <x:v>Candidate — not contacted in this update</x:v>
      </x:c>
      <x:c r="F5" s="243" t="str">
        <x:v>https://leoscope.surrey.ac.uk/</x:v>
      </x:c>
    </x:row>
    <x:row r="6" ht="104" customHeight="1">
      <x:c r="A6" s="243" t="str">
        <x:v>Sweden</x:v>
      </x:c>
      <x:c r="B6" s="243" t="str">
        <x:v>Karlstad University — Computer Science</x:v>
      </x:c>
      <x:c r="C6" s="243" t="str">
        <x:v>johan.garcia@kau.se</x:v>
      </x:c>
      <x:c r="D6" s="243" t="str">
        <x:v>Starlink uplink/downlink one-way delay, April 2025, Karlstad. 1,437 files per direction; sequence number, relative send timestamp and one-way delay in nanoseconds. Published archive: 5.9 GB.</x:v>
      </x:c>
      <x:c r="E6" s="243" t="str">
        <x:v>Candidate — public data release identified; not contacted</x:v>
      </x:c>
      <x:c r="F6" s="243" t="str">
        <x:v>https://zenodo.org/records/16275284</x:v>
      </x:c>
    </x:row>
    <x:row r="7" ht="104" customHeight="1">
      <x:c r="A7" s="243" t="str">
        <x:v>Greece</x:v>
      </x:c>
      <x:c r="B7" s="243" t="str">
        <x:v>Hellenic Telecommunications Organization (OTE) — NEXASPHERE</x:v>
      </x:c>
      <x:c r="C7" s="243" t="str">
        <x:v>glimperop@cosmote.gr; etheodorop@cosmote.gr</x:v>
      </x:c>
      <x:c r="D7" s="243" t="str">
        <x:v>Seven-day Athens Starlink campaign, 11–18 May 2026: 8,857 latency cycles and 1,772 throughput cycles. CSV/JSON with RTT, jitter, throughput and dish telemetry; 6.4 MB measurement ZIP.</x:v>
      </x:c>
      <x:c r="E7" s="243" t="str">
        <x:v>Candidate — public data release identified; not contacted</x:v>
      </x:c>
      <x:c r="F7" s="243" t="str">
        <x:v>https://zenodo.org/records/20796667</x:v>
      </x:c>
    </x:row>
    <x:row r="8" ht="104" customHeight="1">
      <x:c r="A8" s="243" t="str">
        <x:v>Italy</x:v>
      </x:c>
      <x:c r="B8" s="243" t="str">
        <x:v>Politecnico di Torino — SmartData / Telecommunication Networks Group</x:v>
      </x:c>
      <x:c r="C8" s="243" t="str">
        <x:v>martino.trevisan@polito.it</x:v>
      </x:c>
      <x:c r="D8" s="243" t="str">
        <x:v>A First Look at Starlink Performance: RTT, packet loss and TCP/QUIC throughput under idle and loaded conditions; comparison with GEO satellite access. Per-experiment JSON-lines data with metadata is described.</x:v>
      </x:c>
      <x:c r="E8" s="243" t="str">
        <x:v>Candidate — public data route identified; not contacted</x:v>
      </x:c>
      <x:c r="F8" s="243" t="str">
        <x:v>https://smartdata.polito.it/a-first-look-at-starlink-performance-open-data/</x:v>
      </x:c>
    </x:row>
    <x:row r="9" ht="104" customHeight="1">
      <x:c r="A9" s="243" t="str">
        <x:v>Brazil</x:v>
      </x:c>
      <x:c r="B9" s="243" t="str">
        <x:v>Universidade Federal Fluminense — MídiaCom / PPGEET</x:v>
      </x:c>
      <x:c r="C9" s="243" t="str">
        <x:v>nicollas_rodrigues@id.uff.br; menezes@midiacom.uff.br</x:v>
      </x:c>
      <x:c r="D9" s="243" t="str">
        <x:v>Mobile Starlink measurements in Brazil; published study reports latency, jitter, packet loss, throughput, obstruction-related telemetry, position/altitude and power observations.</x:v>
      </x:c>
      <x:c r="E9" s="243" t="str">
        <x:v>Candidate — published data pointer; access/metadata checks open</x:v>
      </x:c>
      <x:c r="F9" s="243" t="str">
        <x:v>https://www.kaggle.com/datasets/ferrazani/mobile-leo-satellite-access-network</x:v>
      </x:c>
    </x:row>
    <x:row r="10" ht="104" customHeight="1">
      <x:c r="A10" s="243" t="str">
        <x:v>Finland</x:v>
      </x:c>
      <x:c r="B10" s="243" t="str">
        <x:v>VTT Technical Research Centre of Finland / University of Oulu</x:v>
      </x:c>
      <x:c r="C10" s="243" t="str">
        <x:v>Harri Saarnisaari — University of Oulu; prior published contact: asad.ullah@vtt.fi</x:v>
      </x:c>
      <x:c r="D10" s="243" t="str">
        <x:v>Starlink stationary/mobile tests around Oulu: RTT, uplink/downlink throughput, routing and vehicle/location data; paper documents observed obstruction-related connection outages.</x:v>
      </x:c>
      <x:c r="E10" s="243" t="str">
        <x:v>RESPONDED 23 Sep 2026 — CLOSED / data no longer available</x:v>
      </x:c>
      <x:c r="F10" s="243" t="str">
        <x:v>https://oulurepo.oulu.fi/handle/10024/58511</x:v>
      </x:c>
    </x:row>
    <x:row r="11" ht="48" customHeight="1">
      <x:c r="A11" s="243"/>
      <x:c r="B11" s="243"/>
      <x:c r="C11" s="243"/>
      <x:c r="D11" s="243"/>
      <x:c r="E11" s="243"/>
      <x:c r="F11" s="243"/>
    </x:row>
    <x:row r="12" ht="48" customHeight="1">
      <x:c r="A12" s="243"/>
      <x:c r="B12" s="243"/>
      <x:c r="C12" s="243"/>
      <x:c r="D12" s="243"/>
      <x:c r="E12" s="243"/>
      <x:c r="F12" s="243"/>
    </x:row>
    <x:row r="13" ht="48" customHeight="1">
      <x:c r="A13" s="243"/>
      <x:c r="B13" s="243"/>
      <x:c r="C13" s="243"/>
      <x:c r="D13" s="243"/>
      <x:c r="E13" s="243"/>
      <x:c r="F13" s="243"/>
    </x:row>
    <x:row r="14" ht="48" customHeight="1">
      <x:c r="A14" s="243"/>
      <x:c r="B14" s="243"/>
      <x:c r="C14" s="243"/>
      <x:c r="D14" s="243"/>
      <x:c r="E14" s="243"/>
      <x:c r="F14" s="243"/>
    </x:row>
  </x:sheetData>
  <x:mergeCells>
    <x:mergeCell ref="A1:F1"/>
    <x:mergeCell ref="A2:F2"/>
  </x:mergeCells>
  <x:pageMargins left="0.7" right="0.7" top="0.75" bottom="0.75" header="0.3" footer="0.3"/>
  <x:tableParts count="1">
    <x:tablePart xmlns:r="http://schemas.openxmlformats.org/officeDocument/2006/relationships" r:id="Ra0df7e31c5c544fe"/>
  </x:tableParts>
</x:worksheet>
</file>

<file path=xl/worksheets/sheet16.xml><?xml version="1.0" encoding="utf-8"?>
<x:worksheet xmlns:x="http://schemas.openxmlformats.org/spreadsheetml/2006/main">
  <x:sheetFormatPr defaultRowHeight="15"/>
  <x:cols>
    <x:col min="1" max="1" width="2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38" customHeight="1">
      <x:c r="A1" s="245" t="str">
        <x:v>Reference-slide intake — original wording preserved</x:v>
      </x:c>
      <x:c r="B1" s="245"/>
      <x:c r="C1" s="245"/>
      <x:c r="D1" s="245"/>
      <x:c r="E1" s="245"/>
      <x:c r="F1" s="245"/>
      <x:c r="G1" s="245"/>
    </x:row>
    <x:row r="2" ht="40" customHeight="1">
      <x:c r="A2" s="243" t="str">
        <x:v>Source: AAA References ALSO JIDE Screenshot 2026-09-14 201717.png. Added as leads, NOT as a verified bibliography or advisor-approved list.</x:v>
      </x:c>
      <x:c r="B2" s="243"/>
      <x:c r="C2" s="243"/>
      <x:c r="D2" s="243"/>
      <x:c r="E2" s="243"/>
      <x:c r="F2" s="243"/>
      <x:c r="G2" s="243"/>
    </x:row>
    <x:row r="3" ht="30" customHeight="1">
      <x:c r="A3" s="246" t="str">
        <x:v>21 supplied entries: 6 venue names + 15 proposed works. Dates/titles are not silently corrected; verified alternatives are distinguished.</x:v>
      </x:c>
      <x:c r="B3" s="246"/>
      <x:c r="C3" s="246"/>
      <x:c r="D3" s="246"/>
      <x:c r="E3" s="246"/>
      <x:c r="F3" s="246"/>
      <x:c r="G3" s="246"/>
    </x:row>
    <x:row r="4" ht="30" customHeight="1">
      <x:c r="A4" s="243"/>
      <x:c r="B4" s="243"/>
      <x:c r="C4" s="243"/>
      <x:c r="D4" s="243"/>
      <x:c r="E4" s="243"/>
      <x:c r="F4" s="243"/>
      <x:c r="G4" s="243"/>
    </x:row>
    <x:row r="5" ht="24" customHeight="1">
      <x:c r="A5" s="251" t="str">
        <x:v>01 | Government &amp; Federally Funded Research</x:v>
      </x:c>
      <x:c r="B5" s="251"/>
      <x:c r="C5" s="251"/>
      <x:c r="D5" s="251"/>
      <x:c r="E5" s="251"/>
      <x:c r="F5" s="251"/>
      <x:c r="G5" s="251"/>
    </x:row>
    <x:row r="6" ht="50" customHeight="1">
      <x:c r="A6" s="249" t="str">
        <x:v>As supplied</x:v>
      </x:c>
      <x:c r="B6" s="250" t="str">
        <x:v>RAND Corporation. (2022). Resilient Space Architectures: Assessing Multi Orbit Dependencies.</x:v>
      </x:c>
      <x:c r="C6" s="250"/>
      <x:c r="D6" s="250"/>
      <x:c r="E6" s="250"/>
      <x:c r="F6" s="250"/>
      <x:c r="G6" s="250"/>
    </x:row>
    <x:row r="7" ht="30" customHeight="1">
      <x:c r="A7" s="248" t="str">
        <x:v>Screening status</x:v>
      </x:c>
      <x:c r="B7" s="243" t="str">
        <x:v>Exact item unverified — 14 Sep 2026</x:v>
      </x:c>
      <x:c r="C7" s="243"/>
      <x:c r="D7" s="243"/>
      <x:c r="E7" s="243"/>
      <x:c r="F7" s="243"/>
      <x:c r="G7" s="243"/>
    </x:row>
    <x:row r="8" ht="50" customHeight="1">
      <x:c r="A8" s="249" t="str">
        <x:v>Action / finding</x:v>
      </x:c>
      <x:c r="B8" s="250" t="str">
        <x:v>Exact title/year not established by this search. Do not substitute the already-held 2023 RAND report without explicitly changing the citation.</x:v>
      </x:c>
      <x:c r="C8" s="250"/>
      <x:c r="D8" s="250"/>
      <x:c r="E8" s="250"/>
      <x:c r="F8" s="250"/>
      <x:c r="G8" s="250"/>
    </x:row>
    <x:row r="9" ht="50" customHeight="1">
      <x:c r="A9" s="248" t="str">
        <x:v>Verification source</x:v>
      </x:c>
      <x:c r="B9" s="243" t="str">
        <x:v>Original slide only; no external item established.</x:v>
      </x:c>
      <x:c r="C9" s="243"/>
      <x:c r="D9" s="243"/>
      <x:c r="E9" s="243"/>
      <x:c r="F9" s="243"/>
      <x:c r="G9" s="243"/>
    </x:row>
    <x:row r="10" ht="30" customHeight="1">
      <x:c r="A10" s="243"/>
      <x:c r="B10" s="243"/>
      <x:c r="C10" s="243"/>
      <x:c r="D10" s="243"/>
      <x:c r="E10" s="243"/>
      <x:c r="F10" s="243"/>
      <x:c r="G10" s="243"/>
    </x:row>
    <x:row r="11" ht="24" customHeight="1">
      <x:c r="A11" s="251" t="str">
        <x:v>02 | Government &amp; Federally Funded Research</x:v>
      </x:c>
      <x:c r="B11" s="251"/>
      <x:c r="C11" s="251"/>
      <x:c r="D11" s="251"/>
      <x:c r="E11" s="251"/>
      <x:c r="F11" s="251"/>
      <x:c r="G11" s="251"/>
    </x:row>
    <x:row r="12" ht="50" customHeight="1">
      <x:c r="A12" s="249" t="str">
        <x:v>As supplied</x:v>
      </x:c>
      <x:c r="B12" s="250" t="str">
        <x:v>NASA. (2020). SCaN Architecture Strategy for 2030.</x:v>
      </x:c>
      <x:c r="C12" s="250"/>
      <x:c r="D12" s="250"/>
      <x:c r="E12" s="250"/>
      <x:c r="F12" s="250"/>
      <x:c r="G12" s="250"/>
    </x:row>
    <x:row r="13" ht="30" customHeight="1">
      <x:c r="A13" s="248" t="str">
        <x:v>Screening status</x:v>
      </x:c>
      <x:c r="B13" s="243" t="str">
        <x:v>Exact item unverified — 14 Sep 2026</x:v>
      </x:c>
      <x:c r="C13" s="243"/>
      <x:c r="D13" s="243"/>
      <x:c r="E13" s="243"/>
      <x:c r="F13" s="243"/>
      <x:c r="G13" s="243"/>
    </x:row>
    <x:row r="14" ht="50" customHeight="1">
      <x:c r="A14" s="249" t="str">
        <x:v>Action / finding</x:v>
      </x:c>
      <x:c r="B14" s="250" t="str">
        <x:v>Exact title/version not established. Existing SCaN Architecture Definition Document is a different reference, not verification of this line.</x:v>
      </x:c>
      <x:c r="C14" s="250"/>
      <x:c r="D14" s="250"/>
      <x:c r="E14" s="250"/>
      <x:c r="F14" s="250"/>
      <x:c r="G14" s="250"/>
    </x:row>
    <x:row r="15" ht="50" customHeight="1">
      <x:c r="A15" s="248" t="str">
        <x:v>Verification source</x:v>
      </x:c>
      <x:c r="B15" s="243" t="str">
        <x:v>Original slide only; no external item established.</x:v>
      </x:c>
      <x:c r="C15" s="243"/>
      <x:c r="D15" s="243"/>
      <x:c r="E15" s="243"/>
      <x:c r="F15" s="243"/>
      <x:c r="G15" s="243"/>
    </x:row>
    <x:row r="16" ht="30" customHeight="1">
      <x:c r="A16" s="243"/>
      <x:c r="B16" s="243"/>
      <x:c r="C16" s="243"/>
      <x:c r="D16" s="243"/>
      <x:c r="E16" s="243"/>
      <x:c r="F16" s="243"/>
      <x:c r="G16" s="243"/>
    </x:row>
    <x:row r="17" ht="24" customHeight="1">
      <x:c r="A17" s="251" t="str">
        <x:v>03 | Government &amp; Federally Funded Research</x:v>
      </x:c>
      <x:c r="B17" s="251"/>
      <x:c r="C17" s="251"/>
      <x:c r="D17" s="251"/>
      <x:c r="E17" s="251"/>
      <x:c r="F17" s="251"/>
      <x:c r="G17" s="251"/>
    </x:row>
    <x:row r="18" ht="50" customHeight="1">
      <x:c r="A18" s="249" t="str">
        <x:v>As supplied</x:v>
      </x:c>
      <x:c r="B18" s="250" t="str">
        <x:v>U.S. Space Force. (2023). Spacepower Capstone Publication.</x:v>
      </x:c>
      <x:c r="C18" s="250"/>
      <x:c r="D18" s="250"/>
      <x:c r="E18" s="250"/>
      <x:c r="F18" s="250"/>
      <x:c r="G18" s="250"/>
    </x:row>
    <x:row r="19" ht="30" customHeight="1">
      <x:c r="A19" s="248" t="str">
        <x:v>Screening status</x:v>
      </x:c>
      <x:c r="B19" s="243" t="str">
        <x:v>Year/version check required — 14 Sep 2026</x:v>
      </x:c>
      <x:c r="C19" s="243"/>
      <x:c r="D19" s="243"/>
      <x:c r="E19" s="243"/>
      <x:c r="F19" s="243"/>
      <x:c r="G19" s="243"/>
    </x:row>
    <x:row r="20" ht="50" customHeight="1">
      <x:c r="A20" s="249" t="str">
        <x:v>Action / finding</x:v>
      </x:c>
      <x:c r="B20" s="250" t="str">
        <x:v>The original Spacepower capstone was released 10 August 2020. The screenshot's 2023 item/version has not been identified.</x:v>
      </x:c>
      <x:c r="C20" s="250"/>
      <x:c r="D20" s="250"/>
      <x:c r="E20" s="250"/>
      <x:c r="F20" s="250"/>
      <x:c r="G20" s="250"/>
    </x:row>
    <x:row r="21" ht="50" customHeight="1">
      <x:c r="A21" s="248" t="str">
        <x:v>Verification source</x:v>
      </x:c>
      <x:c r="B21" s="243" t="str">
        <x:v>https://www.ussf-cfc.spaceforce.mil/News/Article-Display/Article/2329221/space-force-releases-1st-doctrine-defines-spacepower-as-distinct-form-of-milita</x:v>
      </x:c>
      <x:c r="C21" s="243"/>
      <x:c r="D21" s="243"/>
      <x:c r="E21" s="243"/>
      <x:c r="F21" s="243"/>
      <x:c r="G21" s="243"/>
    </x:row>
    <x:row r="22" ht="30" customHeight="1">
      <x:c r="A22" s="243"/>
      <x:c r="B22" s="243"/>
      <x:c r="C22" s="243"/>
      <x:c r="D22" s="243"/>
      <x:c r="E22" s="243"/>
      <x:c r="F22" s="243"/>
      <x:c r="G22" s="243"/>
    </x:row>
    <x:row r="23" ht="24" customHeight="1">
      <x:c r="A23" s="251" t="str">
        <x:v>04 | Government &amp; Federally Funded Research</x:v>
      </x:c>
      <x:c r="B23" s="251"/>
      <x:c r="C23" s="251"/>
      <x:c r="D23" s="251"/>
      <x:c r="E23" s="251"/>
      <x:c r="F23" s="251"/>
      <x:c r="G23" s="251"/>
    </x:row>
    <x:row r="24" ht="50" customHeight="1">
      <x:c r="A24" s="249" t="str">
        <x:v>As supplied</x:v>
      </x:c>
      <x:c r="B24" s="250" t="str">
        <x:v>U.S. Space Force. (2022). Resilient space architecture and mission assurance in contested environments. DoD/USSF publications.</x:v>
      </x:c>
      <x:c r="C24" s="250"/>
      <x:c r="D24" s="250"/>
      <x:c r="E24" s="250"/>
      <x:c r="F24" s="250"/>
      <x:c r="G24" s="250"/>
    </x:row>
    <x:row r="25" ht="30" customHeight="1">
      <x:c r="A25" s="248" t="str">
        <x:v>Screening status</x:v>
      </x:c>
      <x:c r="B25" s="243" t="str">
        <x:v>Incomplete citation — 14 Sep 2026</x:v>
      </x:c>
      <x:c r="C25" s="243"/>
      <x:c r="D25" s="243"/>
      <x:c r="E25" s="243"/>
      <x:c r="F25" s="243"/>
      <x:c r="G25" s="243"/>
    </x:row>
    <x:row r="26" ht="50" customHeight="1">
      <x:c r="A26" s="249" t="str">
        <x:v>Action / finding</x:v>
      </x:c>
      <x:c r="B26" s="250" t="str">
        <x:v>Needs an identifiable publication title, report number, version and official URL. Not independently verified in this intake.</x:v>
      </x:c>
      <x:c r="C26" s="250"/>
      <x:c r="D26" s="250"/>
      <x:c r="E26" s="250"/>
      <x:c r="F26" s="250"/>
      <x:c r="G26" s="250"/>
    </x:row>
    <x:row r="27" ht="50" customHeight="1">
      <x:c r="A27" s="248" t="str">
        <x:v>Verification source</x:v>
      </x:c>
      <x:c r="B27" s="243" t="str">
        <x:v>Original slide only; no external item established.</x:v>
      </x:c>
      <x:c r="C27" s="243"/>
      <x:c r="D27" s="243"/>
      <x:c r="E27" s="243"/>
      <x:c r="F27" s="243"/>
      <x:c r="G27" s="243"/>
    </x:row>
    <x:row r="28" ht="30" customHeight="1">
      <x:c r="A28" s="243"/>
      <x:c r="B28" s="243"/>
      <x:c r="C28" s="243"/>
      <x:c r="D28" s="243"/>
      <x:c r="E28" s="243"/>
      <x:c r="F28" s="243"/>
      <x:c r="G28" s="243"/>
    </x:row>
    <x:row r="29" ht="24" customHeight="1">
      <x:c r="A29" s="251" t="str">
        <x:v>05 | Government &amp; Federally Funded Research</x:v>
      </x:c>
      <x:c r="B29" s="251"/>
      <x:c r="C29" s="251"/>
      <x:c r="D29" s="251"/>
      <x:c r="E29" s="251"/>
      <x:c r="F29" s="251"/>
      <x:c r="G29" s="251"/>
    </x:row>
    <x:row r="30" ht="50" customHeight="1">
      <x:c r="A30" s="249" t="str">
        <x:v>As supplied</x:v>
      </x:c>
      <x:c r="B30" s="250" t="str">
        <x:v>DoD. (2022). Defense Space Strategy Review.</x:v>
      </x:c>
      <x:c r="C30" s="250"/>
      <x:c r="D30" s="250"/>
      <x:c r="E30" s="250"/>
      <x:c r="F30" s="250"/>
      <x:c r="G30" s="250"/>
    </x:row>
    <x:row r="31" ht="30" customHeight="1">
      <x:c r="A31" s="248" t="str">
        <x:v>Screening status</x:v>
      </x:c>
      <x:c r="B31" s="243" t="str">
        <x:v>Exact item unverified — 14 Sep 2026</x:v>
      </x:c>
      <x:c r="C31" s="243"/>
      <x:c r="D31" s="243"/>
      <x:c r="E31" s="243"/>
      <x:c r="F31" s="243"/>
      <x:c r="G31" s="243"/>
    </x:row>
    <x:row r="32" ht="50" customHeight="1">
      <x:c r="A32" s="249" t="str">
        <x:v>Action / finding</x:v>
      </x:c>
      <x:c r="B32" s="250" t="str">
        <x:v>Verified related publication: Defense Space Strategy released 17 June 2020. It does not validate this differently titled/year entry.</x:v>
      </x:c>
      <x:c r="C32" s="250"/>
      <x:c r="D32" s="250"/>
      <x:c r="E32" s="250"/>
      <x:c r="F32" s="250"/>
      <x:c r="G32" s="250"/>
    </x:row>
    <x:row r="33" ht="50" customHeight="1">
      <x:c r="A33" s="248" t="str">
        <x:v>Verification source</x:v>
      </x:c>
      <x:c r="B33" s="243" t="str">
        <x:v>https://www.sda.mil/department-of-defense-releases-defense-space-strategy/</x:v>
      </x:c>
      <x:c r="C33" s="243"/>
      <x:c r="D33" s="243"/>
      <x:c r="E33" s="243"/>
      <x:c r="F33" s="243"/>
      <x:c r="G33" s="243"/>
    </x:row>
    <x:row r="34" ht="30" customHeight="1">
      <x:c r="A34" s="243"/>
      <x:c r="B34" s="243"/>
      <x:c r="C34" s="243"/>
      <x:c r="D34" s="243"/>
      <x:c r="E34" s="243"/>
      <x:c r="F34" s="243"/>
      <x:c r="G34" s="243"/>
    </x:row>
    <x:row r="35" ht="24" customHeight="1">
      <x:c r="A35" s="251" t="str">
        <x:v>06 | Government &amp; Federally Funded Research</x:v>
      </x:c>
      <x:c r="B35" s="251"/>
      <x:c r="C35" s="251"/>
      <x:c r="D35" s="251"/>
      <x:c r="E35" s="251"/>
      <x:c r="F35" s="251"/>
      <x:c r="G35" s="251"/>
    </x:row>
    <x:row r="36" ht="50" customHeight="1">
      <x:c r="A36" s="249" t="str">
        <x:v>As supplied</x:v>
      </x:c>
      <x:c r="B36" s="250" t="str">
        <x:v>ESA. (2021). Future Space Communications Architecture Study.</x:v>
      </x:c>
      <x:c r="C36" s="250"/>
      <x:c r="D36" s="250"/>
      <x:c r="E36" s="250"/>
      <x:c r="F36" s="250"/>
      <x:c r="G36" s="250"/>
    </x:row>
    <x:row r="37" ht="30" customHeight="1">
      <x:c r="A37" s="248" t="str">
        <x:v>Screening status</x:v>
      </x:c>
      <x:c r="B37" s="243" t="str">
        <x:v>Pending verification — 14 Sep 2026</x:v>
      </x:c>
      <x:c r="C37" s="243"/>
      <x:c r="D37" s="243"/>
      <x:c r="E37" s="243"/>
      <x:c r="F37" s="243"/>
      <x:c r="G37" s="243"/>
    </x:row>
    <x:row r="38" ht="50" customHeight="1">
      <x:c r="A38" s="249" t="str">
        <x:v>Action / finding</x:v>
      </x:c>
      <x:c r="B38" s="250" t="str">
        <x:v>Retained as supplied; requires exact ESA report identifier and public copy before citation.</x:v>
      </x:c>
      <x:c r="C38" s="250"/>
      <x:c r="D38" s="250"/>
      <x:c r="E38" s="250"/>
      <x:c r="F38" s="250"/>
      <x:c r="G38" s="250"/>
    </x:row>
    <x:row r="39" ht="50" customHeight="1">
      <x:c r="A39" s="248" t="str">
        <x:v>Verification source</x:v>
      </x:c>
      <x:c r="B39" s="243" t="str">
        <x:v>Original slide only; no external item established.</x:v>
      </x:c>
      <x:c r="C39" s="243"/>
      <x:c r="D39" s="243"/>
      <x:c r="E39" s="243"/>
      <x:c r="F39" s="243"/>
      <x:c r="G39" s="243"/>
    </x:row>
    <x:row r="40" ht="30" customHeight="1">
      <x:c r="A40" s="243"/>
      <x:c r="B40" s="243"/>
      <x:c r="C40" s="243"/>
      <x:c r="D40" s="243"/>
      <x:c r="E40" s="243"/>
      <x:c r="F40" s="243"/>
      <x:c r="G40" s="243"/>
    </x:row>
    <x:row r="41" ht="24" customHeight="1">
      <x:c r="A41" s="251" t="str">
        <x:v>07 | Government &amp; Federally Funded Research</x:v>
      </x:c>
      <x:c r="B41" s="251"/>
      <x:c r="C41" s="251"/>
      <x:c r="D41" s="251"/>
      <x:c r="E41" s="251"/>
      <x:c r="F41" s="251"/>
      <x:c r="G41" s="251"/>
    </x:row>
    <x:row r="42" ht="50" customHeight="1">
      <x:c r="A42" s="249" t="str">
        <x:v>As supplied</x:v>
      </x:c>
      <x:c r="B42" s="250" t="str">
        <x:v>National Academies of Sciences. (2020). Space-Based Communications and Navigation: A Strategic Outlook.</x:v>
      </x:c>
      <x:c r="C42" s="250"/>
      <x:c r="D42" s="250"/>
      <x:c r="E42" s="250"/>
      <x:c r="F42" s="250"/>
      <x:c r="G42" s="250"/>
    </x:row>
    <x:row r="43" ht="30" customHeight="1">
      <x:c r="A43" s="248" t="str">
        <x:v>Screening status</x:v>
      </x:c>
      <x:c r="B43" s="243" t="str">
        <x:v>Pending verification — 14 Sep 2026</x:v>
      </x:c>
      <x:c r="C43" s="243"/>
      <x:c r="D43" s="243"/>
      <x:c r="E43" s="243"/>
      <x:c r="F43" s="243"/>
      <x:c r="G43" s="243"/>
    </x:row>
    <x:row r="44" ht="50" customHeight="1">
      <x:c r="A44" s="249" t="str">
        <x:v>Action / finding</x:v>
      </x:c>
      <x:c r="B44" s="250" t="str">
        <x:v>Retained as supplied; exact title, committee/publisher metadata and DOI/publication URL not yet verified.</x:v>
      </x:c>
      <x:c r="C44" s="250"/>
      <x:c r="D44" s="250"/>
      <x:c r="E44" s="250"/>
      <x:c r="F44" s="250"/>
      <x:c r="G44" s="250"/>
    </x:row>
    <x:row r="45" ht="50" customHeight="1">
      <x:c r="A45" s="248" t="str">
        <x:v>Verification source</x:v>
      </x:c>
      <x:c r="B45" s="243" t="str">
        <x:v>Original slide only; no external item established.</x:v>
      </x:c>
      <x:c r="C45" s="243"/>
      <x:c r="D45" s="243"/>
      <x:c r="E45" s="243"/>
      <x:c r="F45" s="243"/>
      <x:c r="G45" s="243"/>
    </x:row>
    <x:row r="46" ht="30" customHeight="1">
      <x:c r="A46" s="243"/>
      <x:c r="B46" s="243"/>
      <x:c r="C46" s="243"/>
      <x:c r="D46" s="243"/>
      <x:c r="E46" s="243"/>
      <x:c r="F46" s="243"/>
      <x:c r="G46" s="243"/>
    </x:row>
    <x:row r="47" ht="24" customHeight="1">
      <x:c r="A47" s="251" t="str">
        <x:v>08 | Peer-Reviewed Journals</x:v>
      </x:c>
      <x:c r="B47" s="251"/>
      <x:c r="C47" s="251"/>
      <x:c r="D47" s="251"/>
      <x:c r="E47" s="251"/>
      <x:c r="F47" s="251"/>
      <x:c r="G47" s="251"/>
    </x:row>
    <x:row r="48" ht="50" customHeight="1">
      <x:c r="A48" s="249" t="str">
        <x:v>As supplied</x:v>
      </x:c>
      <x:c r="B48" s="250" t="str">
        <x:v>AIAA Journal of Spacecraft and Rockets</x:v>
      </x:c>
      <x:c r="C48" s="250"/>
      <x:c r="D48" s="250"/>
      <x:c r="E48" s="250"/>
      <x:c r="F48" s="250"/>
      <x:c r="G48" s="250"/>
    </x:row>
    <x:row r="49" ht="30" customHeight="1">
      <x:c r="A49" s="248" t="str">
        <x:v>Screening status</x:v>
      </x:c>
      <x:c r="B49" s="243" t="str">
        <x:v>Venue lead, not an article — 14 Sep 2026</x:v>
      </x:c>
      <x:c r="C49" s="243"/>
      <x:c r="D49" s="243"/>
      <x:c r="E49" s="243"/>
      <x:c r="F49" s="243"/>
      <x:c r="G49" s="243"/>
    </x:row>
    <x:row r="50" ht="50" customHeight="1">
      <x:c r="A50" s="249" t="str">
        <x:v>Action / finding</x:v>
      </x:c>
      <x:c r="B50" s="250" t="str">
        <x:v>A journal name alone is not a bibliographic citation. Select a specific relevant article; verify authors, year, title and DOI.</x:v>
      </x:c>
      <x:c r="C50" s="250"/>
      <x:c r="D50" s="250"/>
      <x:c r="E50" s="250"/>
      <x:c r="F50" s="250"/>
      <x:c r="G50" s="250"/>
    </x:row>
    <x:row r="51" ht="50" customHeight="1">
      <x:c r="A51" s="248" t="str">
        <x:v>Verification source</x:v>
      </x:c>
      <x:c r="B51" s="243" t="str">
        <x:v>Original slide only; no external item established.</x:v>
      </x:c>
      <x:c r="C51" s="243"/>
      <x:c r="D51" s="243"/>
      <x:c r="E51" s="243"/>
      <x:c r="F51" s="243"/>
      <x:c r="G51" s="243"/>
    </x:row>
    <x:row r="52" ht="30" customHeight="1">
      <x:c r="A52" s="243"/>
      <x:c r="B52" s="243"/>
      <x:c r="C52" s="243"/>
      <x:c r="D52" s="243"/>
      <x:c r="E52" s="243"/>
      <x:c r="F52" s="243"/>
      <x:c r="G52" s="243"/>
    </x:row>
    <x:row r="53" ht="24" customHeight="1">
      <x:c r="A53" s="251" t="str">
        <x:v>09 | Peer-Reviewed Journals</x:v>
      </x:c>
      <x:c r="B53" s="251"/>
      <x:c r="C53" s="251"/>
      <x:c r="D53" s="251"/>
      <x:c r="E53" s="251"/>
      <x:c r="F53" s="251"/>
      <x:c r="G53" s="251"/>
    </x:row>
    <x:row r="54" ht="50" customHeight="1">
      <x:c r="A54" s="249" t="str">
        <x:v>As supplied</x:v>
      </x:c>
      <x:c r="B54" s="250" t="str">
        <x:v>IEEE Transactions on Aerospace and Electronic Systems</x:v>
      </x:c>
      <x:c r="C54" s="250"/>
      <x:c r="D54" s="250"/>
      <x:c r="E54" s="250"/>
      <x:c r="F54" s="250"/>
      <x:c r="G54" s="250"/>
    </x:row>
    <x:row r="55" ht="30" customHeight="1">
      <x:c r="A55" s="248" t="str">
        <x:v>Screening status</x:v>
      </x:c>
      <x:c r="B55" s="243" t="str">
        <x:v>Venue lead, not an article — 14 Sep 2026</x:v>
      </x:c>
      <x:c r="C55" s="243"/>
      <x:c r="D55" s="243"/>
      <x:c r="E55" s="243"/>
      <x:c r="F55" s="243"/>
      <x:c r="G55" s="243"/>
    </x:row>
    <x:row r="56" ht="50" customHeight="1">
      <x:c r="A56" s="249" t="str">
        <x:v>Action / finding</x:v>
      </x:c>
      <x:c r="B56" s="250" t="str">
        <x:v>Retain as a journal search lead. No specific article supplied.</x:v>
      </x:c>
      <x:c r="C56" s="250"/>
      <x:c r="D56" s="250"/>
      <x:c r="E56" s="250"/>
      <x:c r="F56" s="250"/>
      <x:c r="G56" s="250"/>
    </x:row>
    <x:row r="57" ht="50" customHeight="1">
      <x:c r="A57" s="248" t="str">
        <x:v>Verification source</x:v>
      </x:c>
      <x:c r="B57" s="243" t="str">
        <x:v>Original slide only; no external item established.</x:v>
      </x:c>
      <x:c r="C57" s="243"/>
      <x:c r="D57" s="243"/>
      <x:c r="E57" s="243"/>
      <x:c r="F57" s="243"/>
      <x:c r="G57" s="243"/>
    </x:row>
    <x:row r="58" ht="30" customHeight="1">
      <x:c r="A58" s="243"/>
      <x:c r="B58" s="243"/>
      <x:c r="C58" s="243"/>
      <x:c r="D58" s="243"/>
      <x:c r="E58" s="243"/>
      <x:c r="F58" s="243"/>
      <x:c r="G58" s="243"/>
    </x:row>
    <x:row r="59" ht="24" customHeight="1">
      <x:c r="A59" s="251" t="str">
        <x:v>10 | Peer-Reviewed Journals</x:v>
      </x:c>
      <x:c r="B59" s="251"/>
      <x:c r="C59" s="251"/>
      <x:c r="D59" s="251"/>
      <x:c r="E59" s="251"/>
      <x:c r="F59" s="251"/>
      <x:c r="G59" s="251"/>
    </x:row>
    <x:row r="60" ht="50" customHeight="1">
      <x:c r="A60" s="249" t="str">
        <x:v>As supplied</x:v>
      </x:c>
      <x:c r="B60" s="250" t="str">
        <x:v>Acta Astronautica</x:v>
      </x:c>
      <x:c r="C60" s="250"/>
      <x:c r="D60" s="250"/>
      <x:c r="E60" s="250"/>
      <x:c r="F60" s="250"/>
      <x:c r="G60" s="250"/>
    </x:row>
    <x:row r="61" ht="30" customHeight="1">
      <x:c r="A61" s="248" t="str">
        <x:v>Screening status</x:v>
      </x:c>
      <x:c r="B61" s="243" t="str">
        <x:v>Venue lead, not an article — 14 Sep 2026</x:v>
      </x:c>
      <x:c r="C61" s="243"/>
      <x:c r="D61" s="243"/>
      <x:c r="E61" s="243"/>
      <x:c r="F61" s="243"/>
      <x:c r="G61" s="243"/>
    </x:row>
    <x:row r="62" ht="50" customHeight="1">
      <x:c r="A62" s="249" t="str">
        <x:v>Action / finding</x:v>
      </x:c>
      <x:c r="B62" s="250" t="str">
        <x:v>Retain as a journal search lead. No specific article supplied.</x:v>
      </x:c>
      <x:c r="C62" s="250"/>
      <x:c r="D62" s="250"/>
      <x:c r="E62" s="250"/>
      <x:c r="F62" s="250"/>
      <x:c r="G62" s="250"/>
    </x:row>
    <x:row r="63" ht="50" customHeight="1">
      <x:c r="A63" s="248" t="str">
        <x:v>Verification source</x:v>
      </x:c>
      <x:c r="B63" s="243" t="str">
        <x:v>Original slide only; no external item established.</x:v>
      </x:c>
      <x:c r="C63" s="243"/>
      <x:c r="D63" s="243"/>
      <x:c r="E63" s="243"/>
      <x:c r="F63" s="243"/>
      <x:c r="G63" s="243"/>
    </x:row>
    <x:row r="64" ht="30" customHeight="1">
      <x:c r="A64" s="243"/>
      <x:c r="B64" s="243"/>
      <x:c r="C64" s="243"/>
      <x:c r="D64" s="243"/>
      <x:c r="E64" s="243"/>
      <x:c r="F64" s="243"/>
      <x:c r="G64" s="243"/>
    </x:row>
    <x:row r="65" ht="24" customHeight="1">
      <x:c r="A65" s="251" t="str">
        <x:v>11 | Peer-Reviewed Journals</x:v>
      </x:c>
      <x:c r="B65" s="251"/>
      <x:c r="C65" s="251"/>
      <x:c r="D65" s="251"/>
      <x:c r="E65" s="251"/>
      <x:c r="F65" s="251"/>
      <x:c r="G65" s="251"/>
    </x:row>
    <x:row r="66" ht="50" customHeight="1">
      <x:c r="A66" s="249" t="str">
        <x:v>As supplied</x:v>
      </x:c>
      <x:c r="B66" s="250" t="str">
        <x:v>Systems Engineering Journal</x:v>
      </x:c>
      <x:c r="C66" s="250"/>
      <x:c r="D66" s="250"/>
      <x:c r="E66" s="250"/>
      <x:c r="F66" s="250"/>
      <x:c r="G66" s="250"/>
    </x:row>
    <x:row r="67" ht="30" customHeight="1">
      <x:c r="A67" s="248" t="str">
        <x:v>Screening status</x:v>
      </x:c>
      <x:c r="B67" s="243" t="str">
        <x:v>Venue lead, not an article — 14 Sep 2026</x:v>
      </x:c>
      <x:c r="C67" s="243"/>
      <x:c r="D67" s="243"/>
      <x:c r="E67" s="243"/>
      <x:c r="F67" s="243"/>
      <x:c r="G67" s="243"/>
    </x:row>
    <x:row r="68" ht="50" customHeight="1">
      <x:c r="A68" s="249" t="str">
        <x:v>Action / finding</x:v>
      </x:c>
      <x:c r="B68" s="250" t="str">
        <x:v>Retain supplied wording; verify journal title and then identify a specific article.</x:v>
      </x:c>
      <x:c r="C68" s="250"/>
      <x:c r="D68" s="250"/>
      <x:c r="E68" s="250"/>
      <x:c r="F68" s="250"/>
      <x:c r="G68" s="250"/>
    </x:row>
    <x:row r="69" ht="50" customHeight="1">
      <x:c r="A69" s="248" t="str">
        <x:v>Verification source</x:v>
      </x:c>
      <x:c r="B69" s="243" t="str">
        <x:v>Original slide only; no external item established.</x:v>
      </x:c>
      <x:c r="C69" s="243"/>
      <x:c r="D69" s="243"/>
      <x:c r="E69" s="243"/>
      <x:c r="F69" s="243"/>
      <x:c r="G69" s="243"/>
    </x:row>
    <x:row r="70" ht="30" customHeight="1">
      <x:c r="A70" s="243"/>
      <x:c r="B70" s="243"/>
      <x:c r="C70" s="243"/>
      <x:c r="D70" s="243"/>
      <x:c r="E70" s="243"/>
      <x:c r="F70" s="243"/>
      <x:c r="G70" s="243"/>
    </x:row>
    <x:row r="71" ht="24" customHeight="1">
      <x:c r="A71" s="251" t="str">
        <x:v>12 | Peer-Reviewed Journals</x:v>
      </x:c>
      <x:c r="B71" s="251"/>
      <x:c r="C71" s="251"/>
      <x:c r="D71" s="251"/>
      <x:c r="E71" s="251"/>
      <x:c r="F71" s="251"/>
      <x:c r="G71" s="251"/>
    </x:row>
    <x:row r="72" ht="50" customHeight="1">
      <x:c r="A72" s="249" t="str">
        <x:v>As supplied</x:v>
      </x:c>
      <x:c r="B72" s="250" t="str">
        <x:v>Journal of Aerospace Information Systems</x:v>
      </x:c>
      <x:c r="C72" s="250"/>
      <x:c r="D72" s="250"/>
      <x:c r="E72" s="250"/>
      <x:c r="F72" s="250"/>
      <x:c r="G72" s="250"/>
    </x:row>
    <x:row r="73" ht="30" customHeight="1">
      <x:c r="A73" s="248" t="str">
        <x:v>Screening status</x:v>
      </x:c>
      <x:c r="B73" s="243" t="str">
        <x:v>Venue lead, not an article — 14 Sep 2026</x:v>
      </x:c>
      <x:c r="C73" s="243"/>
      <x:c r="D73" s="243"/>
      <x:c r="E73" s="243"/>
      <x:c r="F73" s="243"/>
      <x:c r="G73" s="243"/>
    </x:row>
    <x:row r="74" ht="50" customHeight="1">
      <x:c r="A74" s="249" t="str">
        <x:v>Action / finding</x:v>
      </x:c>
      <x:c r="B74" s="250" t="str">
        <x:v>Retain as a journal search lead. No specific article supplied.</x:v>
      </x:c>
      <x:c r="C74" s="250"/>
      <x:c r="D74" s="250"/>
      <x:c r="E74" s="250"/>
      <x:c r="F74" s="250"/>
      <x:c r="G74" s="250"/>
    </x:row>
    <x:row r="75" ht="50" customHeight="1">
      <x:c r="A75" s="248" t="str">
        <x:v>Verification source</x:v>
      </x:c>
      <x:c r="B75" s="243" t="str">
        <x:v>Original slide only; no external item established.</x:v>
      </x:c>
      <x:c r="C75" s="243"/>
      <x:c r="D75" s="243"/>
      <x:c r="E75" s="243"/>
      <x:c r="F75" s="243"/>
      <x:c r="G75" s="243"/>
    </x:row>
    <x:row r="76" ht="30" customHeight="1">
      <x:c r="A76" s="243"/>
      <x:c r="B76" s="243"/>
      <x:c r="C76" s="243"/>
      <x:c r="D76" s="243"/>
      <x:c r="E76" s="243"/>
      <x:c r="F76" s="243"/>
      <x:c r="G76" s="243"/>
    </x:row>
    <x:row r="77" ht="24" customHeight="1">
      <x:c r="A77" s="251" t="str">
        <x:v>13 | Peer-Reviewed Journals</x:v>
      </x:c>
      <x:c r="B77" s="251"/>
      <x:c r="C77" s="251"/>
      <x:c r="D77" s="251"/>
      <x:c r="E77" s="251"/>
      <x:c r="F77" s="251"/>
      <x:c r="G77" s="251"/>
    </x:row>
    <x:row r="78" ht="50" customHeight="1">
      <x:c r="A78" s="249" t="str">
        <x:v>As supplied</x:v>
      </x:c>
      <x:c r="B78" s="250" t="str">
        <x:v>International Journal of Satellite Communications and Networking</x:v>
      </x:c>
      <x:c r="C78" s="250"/>
      <x:c r="D78" s="250"/>
      <x:c r="E78" s="250"/>
      <x:c r="F78" s="250"/>
      <x:c r="G78" s="250"/>
    </x:row>
    <x:row r="79" ht="30" customHeight="1">
      <x:c r="A79" s="248" t="str">
        <x:v>Screening status</x:v>
      </x:c>
      <x:c r="B79" s="243" t="str">
        <x:v>Venue lead, not an article — 14 Sep 2026</x:v>
      </x:c>
      <x:c r="C79" s="243"/>
      <x:c r="D79" s="243"/>
      <x:c r="E79" s="243"/>
      <x:c r="F79" s="243"/>
      <x:c r="G79" s="243"/>
    </x:row>
    <x:row r="80" ht="50" customHeight="1">
      <x:c r="A80" s="249" t="str">
        <x:v>Action / finding</x:v>
      </x:c>
      <x:c r="B80" s="250" t="str">
        <x:v>Retain as a journal search lead. No specific article supplied.</x:v>
      </x:c>
      <x:c r="C80" s="250"/>
      <x:c r="D80" s="250"/>
      <x:c r="E80" s="250"/>
      <x:c r="F80" s="250"/>
      <x:c r="G80" s="250"/>
    </x:row>
    <x:row r="81" ht="50" customHeight="1">
      <x:c r="A81" s="248" t="str">
        <x:v>Verification source</x:v>
      </x:c>
      <x:c r="B81" s="243" t="str">
        <x:v>Original slide only; no external item established.</x:v>
      </x:c>
      <x:c r="C81" s="243"/>
      <x:c r="D81" s="243"/>
      <x:c r="E81" s="243"/>
      <x:c r="F81" s="243"/>
      <x:c r="G81" s="243"/>
    </x:row>
    <x:row r="82" ht="30" customHeight="1">
      <x:c r="A82" s="243"/>
      <x:c r="B82" s="243"/>
      <x:c r="C82" s="243"/>
      <x:c r="D82" s="243"/>
      <x:c r="E82" s="243"/>
      <x:c r="F82" s="243"/>
      <x:c r="G82" s="243"/>
    </x:row>
    <x:row r="83" ht="24" customHeight="1">
      <x:c r="A83" s="251" t="str">
        <x:v>14 | Key Academic Works</x:v>
      </x:c>
      <x:c r="B83" s="251"/>
      <x:c r="C83" s="251"/>
      <x:c r="D83" s="251"/>
      <x:c r="E83" s="251"/>
      <x:c r="F83" s="251"/>
      <x:c r="G83" s="251"/>
    </x:row>
    <x:row r="84" ht="50" customHeight="1">
      <x:c r="A84" s="249" t="str">
        <x:v>As supplied</x:v>
      </x:c>
      <x:c r="B84" s="250" t="str">
        <x:v>Mortari, D., et al. (2019). “LEO–MEO–GEO Integrated Constellations.” Acta Astronautica.</x:v>
      </x:c>
      <x:c r="C84" s="250"/>
      <x:c r="D84" s="250"/>
      <x:c r="E84" s="250"/>
      <x:c r="F84" s="250"/>
      <x:c r="G84" s="250"/>
    </x:row>
    <x:row r="85" ht="30" customHeight="1">
      <x:c r="A85" s="248" t="str">
        <x:v>Screening status</x:v>
      </x:c>
      <x:c r="B85" s="243" t="str">
        <x:v>Exact citation unverified — 14 Sep 2026</x:v>
      </x:c>
      <x:c r="C85" s="243"/>
      <x:c r="D85" s="243"/>
      <x:c r="E85" s="243"/>
      <x:c r="F85" s="243"/>
      <x:c r="G85" s="243"/>
    </x:row>
    <x:row r="86" ht="50" customHeight="1">
      <x:c r="A86" s="249" t="str">
        <x:v>Action / finding</x:v>
      </x:c>
      <x:c r="B86" s="250" t="str">
        <x:v>Exact-title search did not establish this author/title/year combination. Need the original paper or DOI before citing.</x:v>
      </x:c>
      <x:c r="C86" s="250"/>
      <x:c r="D86" s="250"/>
      <x:c r="E86" s="250"/>
      <x:c r="F86" s="250"/>
      <x:c r="G86" s="250"/>
    </x:row>
    <x:row r="87" ht="50" customHeight="1">
      <x:c r="A87" s="248" t="str">
        <x:v>Verification source</x:v>
      </x:c>
      <x:c r="B87" s="243" t="str">
        <x:v>Original slide only; no external item established.</x:v>
      </x:c>
      <x:c r="C87" s="243"/>
      <x:c r="D87" s="243"/>
      <x:c r="E87" s="243"/>
      <x:c r="F87" s="243"/>
      <x:c r="G87" s="243"/>
    </x:row>
    <x:row r="88" ht="30" customHeight="1">
      <x:c r="A88" s="243"/>
      <x:c r="B88" s="243"/>
      <x:c r="C88" s="243"/>
      <x:c r="D88" s="243"/>
      <x:c r="E88" s="243"/>
      <x:c r="F88" s="243"/>
      <x:c r="G88" s="243"/>
    </x:row>
    <x:row r="89" ht="24" customHeight="1">
      <x:c r="A89" s="251" t="str">
        <x:v>15 | Key Academic Works</x:v>
      </x:c>
      <x:c r="B89" s="251"/>
      <x:c r="C89" s="251"/>
      <x:c r="D89" s="251"/>
      <x:c r="E89" s="251"/>
      <x:c r="F89" s="251"/>
      <x:c r="G89" s="251"/>
    </x:row>
    <x:row r="90" ht="50" customHeight="1">
      <x:c r="A90" s="249" t="str">
        <x:v>As supplied</x:v>
      </x:c>
      <x:c r="B90" s="250" t="str">
        <x:v>Wood, L., et al. (2020). “Multi-Orbit Routing for Space Networks.” IEEE Aerospace Conference.</x:v>
      </x:c>
      <x:c r="C90" s="250"/>
      <x:c r="D90" s="250"/>
      <x:c r="E90" s="250"/>
      <x:c r="F90" s="250"/>
      <x:c r="G90" s="250"/>
    </x:row>
    <x:row r="91" ht="30" customHeight="1">
      <x:c r="A91" s="248" t="str">
        <x:v>Screening status</x:v>
      </x:c>
      <x:c r="B91" s="243" t="str">
        <x:v>Exact citation unverified — 14 Sep 2026</x:v>
      </x:c>
      <x:c r="C91" s="243"/>
      <x:c r="D91" s="243"/>
      <x:c r="E91" s="243"/>
      <x:c r="F91" s="243"/>
      <x:c r="G91" s="243"/>
    </x:row>
    <x:row r="92" ht="50" customHeight="1">
      <x:c r="A92" s="249" t="str">
        <x:v>Action / finding</x:v>
      </x:c>
      <x:c r="B92" s="250" t="str">
        <x:v>Exact-title search did not establish this author/title/year combination. Need the original paper or DOI before citing.</x:v>
      </x:c>
      <x:c r="C92" s="250"/>
      <x:c r="D92" s="250"/>
      <x:c r="E92" s="250"/>
      <x:c r="F92" s="250"/>
      <x:c r="G92" s="250"/>
    </x:row>
    <x:row r="93" ht="50" customHeight="1">
      <x:c r="A93" s="248" t="str">
        <x:v>Verification source</x:v>
      </x:c>
      <x:c r="B93" s="243" t="str">
        <x:v>Original slide only; no external item established.</x:v>
      </x:c>
      <x:c r="C93" s="243"/>
      <x:c r="D93" s="243"/>
      <x:c r="E93" s="243"/>
      <x:c r="F93" s="243"/>
      <x:c r="G93" s="243"/>
    </x:row>
    <x:row r="94" ht="30" customHeight="1">
      <x:c r="A94" s="243"/>
      <x:c r="B94" s="243"/>
      <x:c r="C94" s="243"/>
      <x:c r="D94" s="243"/>
      <x:c r="E94" s="243"/>
      <x:c r="F94" s="243"/>
      <x:c r="G94" s="243"/>
    </x:row>
    <x:row r="95" ht="24" customHeight="1">
      <x:c r="A95" s="251" t="str">
        <x:v>16 | Key Academic Works</x:v>
      </x:c>
      <x:c r="B95" s="251"/>
      <x:c r="C95" s="251"/>
      <x:c r="D95" s="251"/>
      <x:c r="E95" s="251"/>
      <x:c r="F95" s="251"/>
      <x:c r="G95" s="251"/>
    </x:row>
    <x:row r="96" ht="50" customHeight="1">
      <x:c r="A96" s="249" t="str">
        <x:v>As supplied</x:v>
      </x:c>
      <x:c r="B96" s="250" t="str">
        <x:v>Saleh, J., &amp; Newman, D. (2018). “System-of-Systems Resilience in Space Architectures.” Systems Engineering.</x:v>
      </x:c>
      <x:c r="C96" s="250"/>
      <x:c r="D96" s="250"/>
      <x:c r="E96" s="250"/>
      <x:c r="F96" s="250"/>
      <x:c r="G96" s="250"/>
    </x:row>
    <x:row r="97" ht="30" customHeight="1">
      <x:c r="A97" s="248" t="str">
        <x:v>Screening status</x:v>
      </x:c>
      <x:c r="B97" s="243" t="str">
        <x:v>Exact citation unverified — 14 Sep 2026</x:v>
      </x:c>
      <x:c r="C97" s="243"/>
      <x:c r="D97" s="243"/>
      <x:c r="E97" s="243"/>
      <x:c r="F97" s="243"/>
      <x:c r="G97" s="243"/>
    </x:row>
    <x:row r="98" ht="50" customHeight="1">
      <x:c r="A98" s="249" t="str">
        <x:v>Action / finding</x:v>
      </x:c>
      <x:c r="B98" s="250" t="str">
        <x:v>Exact-title search did not establish this author/title/year combination. Need the original paper or DOI before citing.</x:v>
      </x:c>
      <x:c r="C98" s="250"/>
      <x:c r="D98" s="250"/>
      <x:c r="E98" s="250"/>
      <x:c r="F98" s="250"/>
      <x:c r="G98" s="250"/>
    </x:row>
    <x:row r="99" ht="50" customHeight="1">
      <x:c r="A99" s="248" t="str">
        <x:v>Verification source</x:v>
      </x:c>
      <x:c r="B99" s="243" t="str">
        <x:v>Original slide only; no external item established.</x:v>
      </x:c>
      <x:c r="C99" s="243"/>
      <x:c r="D99" s="243"/>
      <x:c r="E99" s="243"/>
      <x:c r="F99" s="243"/>
      <x:c r="G99" s="243"/>
    </x:row>
    <x:row r="100" ht="30" customHeight="1">
      <x:c r="A100" s="243"/>
      <x:c r="B100" s="243"/>
      <x:c r="C100" s="243"/>
      <x:c r="D100" s="243"/>
      <x:c r="E100" s="243"/>
      <x:c r="F100" s="243"/>
      <x:c r="G100" s="243"/>
    </x:row>
    <x:row r="101" ht="24" customHeight="1">
      <x:c r="A101" s="251" t="str">
        <x:v>17 | Key Academic Works</x:v>
      </x:c>
      <x:c r="B101" s="251"/>
      <x:c r="C101" s="251"/>
      <x:c r="D101" s="251"/>
      <x:c r="E101" s="251"/>
      <x:c r="F101" s="251"/>
      <x:c r="G101" s="251"/>
    </x:row>
    <x:row r="102" ht="50" customHeight="1">
      <x:c r="A102" s="249" t="str">
        <x:v>As supplied</x:v>
      </x:c>
      <x:c r="B102" s="250" t="str">
        <x:v>Fossa, C., et al. (2021). “Starlink and the Future of Distributed Space Networks.” IEEE Communications Magazine.</x:v>
      </x:c>
      <x:c r="C102" s="250"/>
      <x:c r="D102" s="250"/>
      <x:c r="E102" s="250"/>
      <x:c r="F102" s="250"/>
      <x:c r="G102" s="250"/>
    </x:row>
    <x:row r="103" ht="30" customHeight="1">
      <x:c r="A103" s="248" t="str">
        <x:v>Screening status</x:v>
      </x:c>
      <x:c r="B103" s="243" t="str">
        <x:v>Exact citation unverified — 14 Sep 2026</x:v>
      </x:c>
      <x:c r="C103" s="243"/>
      <x:c r="D103" s="243"/>
      <x:c r="E103" s="243"/>
      <x:c r="F103" s="243"/>
      <x:c r="G103" s="243"/>
    </x:row>
    <x:row r="104" ht="50" customHeight="1">
      <x:c r="A104" s="249" t="str">
        <x:v>Action / finding</x:v>
      </x:c>
      <x:c r="B104" s="250" t="str">
        <x:v>Exact-title search did not establish this author/title/year combination. Need the original paper or DOI before citing.</x:v>
      </x:c>
      <x:c r="C104" s="250"/>
      <x:c r="D104" s="250"/>
      <x:c r="E104" s="250"/>
      <x:c r="F104" s="250"/>
      <x:c r="G104" s="250"/>
    </x:row>
    <x:row r="105" ht="50" customHeight="1">
      <x:c r="A105" s="248" t="str">
        <x:v>Verification source</x:v>
      </x:c>
      <x:c r="B105" s="243" t="str">
        <x:v>Original slide only; no external item established.</x:v>
      </x:c>
      <x:c r="C105" s="243"/>
      <x:c r="D105" s="243"/>
      <x:c r="E105" s="243"/>
      <x:c r="F105" s="243"/>
      <x:c r="G105" s="243"/>
    </x:row>
    <x:row r="106" ht="30" customHeight="1">
      <x:c r="A106" s="243"/>
      <x:c r="B106" s="243"/>
      <x:c r="C106" s="243"/>
      <x:c r="D106" s="243"/>
      <x:c r="E106" s="243"/>
      <x:c r="F106" s="243"/>
      <x:c r="G106" s="243"/>
    </x:row>
    <x:row r="107" ht="24" customHeight="1">
      <x:c r="A107" s="251" t="str">
        <x:v>18 | Industry &amp; Technical Reports</x:v>
      </x:c>
      <x:c r="B107" s="251"/>
      <x:c r="C107" s="251"/>
      <x:c r="D107" s="251"/>
      <x:c r="E107" s="251"/>
      <x:c r="F107" s="251"/>
      <x:c r="G107" s="251"/>
    </x:row>
    <x:row r="108" ht="50" customHeight="1">
      <x:c r="A108" s="249" t="str">
        <x:v>As supplied</x:v>
      </x:c>
      <x:c r="B108" s="250" t="str">
        <x:v>SpaceX. (2021). Starlink Architecture Overview.</x:v>
      </x:c>
      <x:c r="C108" s="250"/>
      <x:c r="D108" s="250"/>
      <x:c r="E108" s="250"/>
      <x:c r="F108" s="250"/>
      <x:c r="G108" s="250"/>
    </x:row>
    <x:row r="109" ht="30" customHeight="1">
      <x:c r="A109" s="248" t="str">
        <x:v>Screening status</x:v>
      </x:c>
      <x:c r="B109" s="243" t="str">
        <x:v>Pending verification — 14 Sep 2026</x:v>
      </x:c>
      <x:c r="C109" s="243"/>
      <x:c r="D109" s="243"/>
      <x:c r="E109" s="243"/>
      <x:c r="F109" s="243"/>
      <x:c r="G109" s="243"/>
    </x:row>
    <x:row r="110" ht="50" customHeight="1">
      <x:c r="A110" s="249" t="str">
        <x:v>Action / finding</x:v>
      </x:c>
      <x:c r="B110" s="250" t="str">
        <x:v>Retain as supplied; need exact released document and stable publisher link. An organization website is not a substitute citation.</x:v>
      </x:c>
      <x:c r="C110" s="250"/>
      <x:c r="D110" s="250"/>
      <x:c r="E110" s="250"/>
      <x:c r="F110" s="250"/>
      <x:c r="G110" s="250"/>
    </x:row>
    <x:row r="111" ht="50" customHeight="1">
      <x:c r="A111" s="248" t="str">
        <x:v>Verification source</x:v>
      </x:c>
      <x:c r="B111" s="243" t="str">
        <x:v>Original slide only; no external item established.</x:v>
      </x:c>
      <x:c r="C111" s="243"/>
      <x:c r="D111" s="243"/>
      <x:c r="E111" s="243"/>
      <x:c r="F111" s="243"/>
      <x:c r="G111" s="243"/>
    </x:row>
    <x:row r="112" ht="30" customHeight="1">
      <x:c r="A112" s="243"/>
      <x:c r="B112" s="243"/>
      <x:c r="C112" s="243"/>
      <x:c r="D112" s="243"/>
      <x:c r="E112" s="243"/>
      <x:c r="F112" s="243"/>
      <x:c r="G112" s="243"/>
    </x:row>
    <x:row r="113" ht="24" customHeight="1">
      <x:c r="A113" s="251" t="str">
        <x:v>19 | Industry &amp; Technical Reports</x:v>
      </x:c>
      <x:c r="B113" s="251"/>
      <x:c r="C113" s="251"/>
      <x:c r="D113" s="251"/>
      <x:c r="E113" s="251"/>
      <x:c r="F113" s="251"/>
      <x:c r="G113" s="251"/>
    </x:row>
    <x:row r="114" ht="50" customHeight="1">
      <x:c r="A114" s="249" t="str">
        <x:v>As supplied</x:v>
      </x:c>
      <x:c r="B114" s="250" t="str">
        <x:v>OneWeb. (2022). Global Connectivity Architecture.</x:v>
      </x:c>
      <x:c r="C114" s="250"/>
      <x:c r="D114" s="250"/>
      <x:c r="E114" s="250"/>
      <x:c r="F114" s="250"/>
      <x:c r="G114" s="250"/>
    </x:row>
    <x:row r="115" ht="30" customHeight="1">
      <x:c r="A115" s="248" t="str">
        <x:v>Screening status</x:v>
      </x:c>
      <x:c r="B115" s="243" t="str">
        <x:v>Pending verification — 14 Sep 2026</x:v>
      </x:c>
      <x:c r="C115" s="243"/>
      <x:c r="D115" s="243"/>
      <x:c r="E115" s="243"/>
      <x:c r="F115" s="243"/>
      <x:c r="G115" s="243"/>
    </x:row>
    <x:row r="116" ht="50" customHeight="1">
      <x:c r="A116" s="249" t="str">
        <x:v>Action / finding</x:v>
      </x:c>
      <x:c r="B116" s="250" t="str">
        <x:v>Retain as supplied; need exact released document, date and stable publisher link.</x:v>
      </x:c>
      <x:c r="C116" s="250"/>
      <x:c r="D116" s="250"/>
      <x:c r="E116" s="250"/>
      <x:c r="F116" s="250"/>
      <x:c r="G116" s="250"/>
    </x:row>
    <x:row r="117" ht="50" customHeight="1">
      <x:c r="A117" s="248" t="str">
        <x:v>Verification source</x:v>
      </x:c>
      <x:c r="B117" s="243" t="str">
        <x:v>Original slide only; no external item established.</x:v>
      </x:c>
      <x:c r="C117" s="243"/>
      <x:c r="D117" s="243"/>
      <x:c r="E117" s="243"/>
      <x:c r="F117" s="243"/>
      <x:c r="G117" s="243"/>
    </x:row>
    <x:row r="118" ht="30" customHeight="1">
      <x:c r="A118" s="243"/>
      <x:c r="B118" s="243"/>
      <x:c r="C118" s="243"/>
      <x:c r="D118" s="243"/>
      <x:c r="E118" s="243"/>
      <x:c r="F118" s="243"/>
      <x:c r="G118" s="243"/>
    </x:row>
    <x:row r="119" ht="24" customHeight="1">
      <x:c r="A119" s="251" t="str">
        <x:v>20 | Industry &amp; Technical Reports</x:v>
      </x:c>
      <x:c r="B119" s="251"/>
      <x:c r="C119" s="251"/>
      <x:c r="D119" s="251"/>
      <x:c r="E119" s="251"/>
      <x:c r="F119" s="251"/>
      <x:c r="G119" s="251"/>
    </x:row>
    <x:row r="120" ht="50" customHeight="1">
      <x:c r="A120" s="249" t="str">
        <x:v>As supplied</x:v>
      </x:c>
      <x:c r="B120" s="250" t="str">
        <x:v>MITRE. (2020). Resilient PNT and Multi-Orbit Integration.</x:v>
      </x:c>
      <x:c r="C120" s="250"/>
      <x:c r="D120" s="250"/>
      <x:c r="E120" s="250"/>
      <x:c r="F120" s="250"/>
      <x:c r="G120" s="250"/>
    </x:row>
    <x:row r="121" ht="30" customHeight="1">
      <x:c r="A121" s="248" t="str">
        <x:v>Screening status</x:v>
      </x:c>
      <x:c r="B121" s="243" t="str">
        <x:v>Pending verification — 14 Sep 2026</x:v>
      </x:c>
      <x:c r="C121" s="243"/>
      <x:c r="D121" s="243"/>
      <x:c r="E121" s="243"/>
      <x:c r="F121" s="243"/>
      <x:c r="G121" s="243"/>
    </x:row>
    <x:row r="122" ht="50" customHeight="1">
      <x:c r="A122" s="249" t="str">
        <x:v>Action / finding</x:v>
      </x:c>
      <x:c r="B122" s="250" t="str">
        <x:v>Retain as supplied; need report number, authors and public release URL.</x:v>
      </x:c>
      <x:c r="C122" s="250"/>
      <x:c r="D122" s="250"/>
      <x:c r="E122" s="250"/>
      <x:c r="F122" s="250"/>
      <x:c r="G122" s="250"/>
    </x:row>
    <x:row r="123" ht="50" customHeight="1">
      <x:c r="A123" s="248" t="str">
        <x:v>Verification source</x:v>
      </x:c>
      <x:c r="B123" s="243" t="str">
        <x:v>Original slide only; no external item established.</x:v>
      </x:c>
      <x:c r="C123" s="243"/>
      <x:c r="D123" s="243"/>
      <x:c r="E123" s="243"/>
      <x:c r="F123" s="243"/>
      <x:c r="G123" s="243"/>
    </x:row>
    <x:row r="124" ht="30" customHeight="1">
      <x:c r="A124" s="243"/>
      <x:c r="B124" s="243"/>
      <x:c r="C124" s="243"/>
      <x:c r="D124" s="243"/>
      <x:c r="E124" s="243"/>
      <x:c r="F124" s="243"/>
      <x:c r="G124" s="243"/>
    </x:row>
    <x:row r="125" ht="24" customHeight="1">
      <x:c r="A125" s="251" t="str">
        <x:v>21 | Industry &amp; Technical Reports</x:v>
      </x:c>
      <x:c r="B125" s="251"/>
      <x:c r="C125" s="251"/>
      <x:c r="D125" s="251"/>
      <x:c r="E125" s="251"/>
      <x:c r="F125" s="251"/>
      <x:c r="G125" s="251"/>
    </x:row>
    <x:row r="126" ht="50" customHeight="1">
      <x:c r="A126" s="249" t="str">
        <x:v>As supplied</x:v>
      </x:c>
      <x:c r="B126" s="250" t="str">
        <x:v>Aerospace Corporation. (2023). Cross-Orbit Interoperability Challenges.</x:v>
      </x:c>
      <x:c r="C126" s="250"/>
      <x:c r="D126" s="250"/>
      <x:c r="E126" s="250"/>
      <x:c r="F126" s="250"/>
      <x:c r="G126" s="250"/>
    </x:row>
    <x:row r="127" ht="30" customHeight="1">
      <x:c r="A127" s="248" t="str">
        <x:v>Screening status</x:v>
      </x:c>
      <x:c r="B127" s="243" t="str">
        <x:v>Pending verification — 14 Sep 2026</x:v>
      </x:c>
      <x:c r="C127" s="243"/>
      <x:c r="D127" s="243"/>
      <x:c r="E127" s="243"/>
      <x:c r="F127" s="243"/>
      <x:c r="G127" s="243"/>
    </x:row>
    <x:row r="128" ht="50" customHeight="1">
      <x:c r="A128" s="249" t="str">
        <x:v>Action / finding</x:v>
      </x:c>
      <x:c r="B128" s="250" t="str">
        <x:v>Retain as supplied; need exact title, author(s), date and public release URL.</x:v>
      </x:c>
      <x:c r="C128" s="250"/>
      <x:c r="D128" s="250"/>
      <x:c r="E128" s="250"/>
      <x:c r="F128" s="250"/>
      <x:c r="G128" s="250"/>
    </x:row>
    <x:row r="129" ht="50" customHeight="1">
      <x:c r="A129" s="248" t="str">
        <x:v>Verification source</x:v>
      </x:c>
      <x:c r="B129" s="243" t="str">
        <x:v>Original slide only; no external item established.</x:v>
      </x:c>
      <x:c r="C129" s="243"/>
      <x:c r="D129" s="243"/>
      <x:c r="E129" s="243"/>
      <x:c r="F129" s="243"/>
      <x:c r="G129" s="243"/>
    </x:row>
    <x:row r="130" ht="30" customHeight="1">
      <x:c r="A130" s="243"/>
      <x:c r="B130" s="243"/>
      <x:c r="C130" s="243"/>
      <x:c r="D130" s="243"/>
      <x:c r="E130" s="243"/>
      <x:c r="F130" s="243"/>
      <x:c r="G130" s="243"/>
    </x:row>
  </x:sheetData>
  <x:mergeCells>
    <x:mergeCell ref="A1:G1"/>
    <x:mergeCell ref="A2:G2"/>
    <x:mergeCell ref="A3:G3"/>
    <x:mergeCell ref="A5:G5"/>
    <x:mergeCell ref="B6:G6"/>
    <x:mergeCell ref="B7:G7"/>
    <x:mergeCell ref="B8:G8"/>
    <x:mergeCell ref="B9:G9"/>
    <x:mergeCell ref="A11:G11"/>
    <x:mergeCell ref="B12:G12"/>
    <x:mergeCell ref="B13:G13"/>
    <x:mergeCell ref="B14:G14"/>
    <x:mergeCell ref="B15:G15"/>
    <x:mergeCell ref="A17:G17"/>
    <x:mergeCell ref="B18:G18"/>
    <x:mergeCell ref="B19:G19"/>
    <x:mergeCell ref="B20:G20"/>
    <x:mergeCell ref="B21:G21"/>
    <x:mergeCell ref="A23:G23"/>
    <x:mergeCell ref="B24:G24"/>
    <x:mergeCell ref="B25:G25"/>
    <x:mergeCell ref="B26:G26"/>
    <x:mergeCell ref="B27:G27"/>
    <x:mergeCell ref="A29:G29"/>
    <x:mergeCell ref="B30:G30"/>
    <x:mergeCell ref="B31:G31"/>
    <x:mergeCell ref="B32:G32"/>
    <x:mergeCell ref="B33:G33"/>
    <x:mergeCell ref="A35:G35"/>
    <x:mergeCell ref="B36:G36"/>
    <x:mergeCell ref="B37:G37"/>
    <x:mergeCell ref="B38:G38"/>
    <x:mergeCell ref="B39:G39"/>
    <x:mergeCell ref="A41:G41"/>
    <x:mergeCell ref="B42:G42"/>
    <x:mergeCell ref="B43:G43"/>
    <x:mergeCell ref="B44:G44"/>
    <x:mergeCell ref="B45:G45"/>
    <x:mergeCell ref="A47:G47"/>
    <x:mergeCell ref="B48:G48"/>
    <x:mergeCell ref="B49:G49"/>
    <x:mergeCell ref="B50:G50"/>
    <x:mergeCell ref="B51:G51"/>
    <x:mergeCell ref="A53:G53"/>
    <x:mergeCell ref="B54:G54"/>
    <x:mergeCell ref="B55:G55"/>
    <x:mergeCell ref="B56:G56"/>
    <x:mergeCell ref="B57:G57"/>
    <x:mergeCell ref="A59:G59"/>
    <x:mergeCell ref="B60:G60"/>
    <x:mergeCell ref="B61:G61"/>
    <x:mergeCell ref="B62:G62"/>
    <x:mergeCell ref="B63:G63"/>
    <x:mergeCell ref="A65:G65"/>
    <x:mergeCell ref="B66:G66"/>
    <x:mergeCell ref="B67:G67"/>
    <x:mergeCell ref="B68:G68"/>
    <x:mergeCell ref="B69:G69"/>
    <x:mergeCell ref="A71:G71"/>
    <x:mergeCell ref="B72:G72"/>
    <x:mergeCell ref="B73:G73"/>
    <x:mergeCell ref="B74:G74"/>
    <x:mergeCell ref="B75:G75"/>
    <x:mergeCell ref="A77:G77"/>
    <x:mergeCell ref="B78:G78"/>
    <x:mergeCell ref="B79:G79"/>
    <x:mergeCell ref="B80:G80"/>
    <x:mergeCell ref="B81:G81"/>
    <x:mergeCell ref="A83:G83"/>
    <x:mergeCell ref="B84:G84"/>
    <x:mergeCell ref="B85:G85"/>
    <x:mergeCell ref="B86:G86"/>
    <x:mergeCell ref="B87:G87"/>
    <x:mergeCell ref="A89:G89"/>
    <x:mergeCell ref="B90:G90"/>
    <x:mergeCell ref="B91:G91"/>
    <x:mergeCell ref="B92:G92"/>
    <x:mergeCell ref="B93:G93"/>
    <x:mergeCell ref="A95:G95"/>
    <x:mergeCell ref="B96:G96"/>
    <x:mergeCell ref="B97:G97"/>
    <x:mergeCell ref="B98:G98"/>
    <x:mergeCell ref="B99:G99"/>
    <x:mergeCell ref="A101:G101"/>
    <x:mergeCell ref="B102:G102"/>
    <x:mergeCell ref="B103:G103"/>
    <x:mergeCell ref="B104:G104"/>
    <x:mergeCell ref="B105:G105"/>
    <x:mergeCell ref="A107:G107"/>
    <x:mergeCell ref="B108:G108"/>
    <x:mergeCell ref="B109:G109"/>
    <x:mergeCell ref="B110:G110"/>
    <x:mergeCell ref="B111:G111"/>
    <x:mergeCell ref="A113:G113"/>
    <x:mergeCell ref="B114:G114"/>
    <x:mergeCell ref="B115:G115"/>
    <x:mergeCell ref="B116:G116"/>
    <x:mergeCell ref="B117:G117"/>
    <x:mergeCell ref="A119:G119"/>
    <x:mergeCell ref="B120:G120"/>
    <x:mergeCell ref="B121:G121"/>
    <x:mergeCell ref="B122:G122"/>
    <x:mergeCell ref="B123:G123"/>
    <x:mergeCell ref="A125:G125"/>
    <x:mergeCell ref="B126:G126"/>
    <x:mergeCell ref="B127:G127"/>
    <x:mergeCell ref="B128:G128"/>
    <x:mergeCell ref="B129:G129"/>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0" hidden="0" customWidth="1"/>
    <x:col min="3" max="3" width="48" hidden="0" customWidth="1"/>
    <x:col min="4" max="4" width="42" hidden="0" customWidth="1"/>
    <x:col min="5" max="5" width="48" hidden="0" customWidth="1"/>
    <x:col min="6" max="6" width="50" hidden="0" customWidth="1"/>
  </x:cols>
  <x:sheetData>
    <x:row r="1" ht="36" customHeight="1">
      <x:c r="A1" s="252" t="str">
        <x:v>Verified publication / dataset identities — additional research leads</x:v>
      </x:c>
      <x:c r="B1" s="252"/>
      <x:c r="C1" s="252"/>
      <x:c r="D1" s="252"/>
      <x:c r="E1" s="252"/>
      <x:c r="F1" s="252"/>
    </x:row>
    <x:row r="2" ht="38" customHeight="1">
      <x:c r="A2" s="243" t="str">
        <x:v>Locator records, not completed literature reviews or adopted model inputs. Separate from the unverified screenshot entries. Final APA metadata should come from the publisher/repository citation export.</x:v>
      </x:c>
      <x:c r="B2" s="243"/>
      <x:c r="C2" s="243"/>
      <x:c r="D2" s="243"/>
      <x:c r="E2" s="243"/>
      <x:c r="F2" s="243"/>
    </x:row>
    <x:row r="3" ht="80" customHeight="1">
      <x:c r="A3" s="243"/>
      <x:c r="B3" s="243"/>
      <x:c r="C3" s="243"/>
      <x:c r="D3" s="243"/>
      <x:c r="E3" s="243"/>
      <x:c r="F3" s="243"/>
    </x:row>
    <x:row r="4" ht="32" customHeight="1">
      <x:c r="A4" s="251" t="str">
        <x:v>Type</x:v>
      </x:c>
      <x:c r="B4" s="251" t="str">
        <x:v>Year</x:v>
      </x:c>
      <x:c r="C4" s="251" t="str">
        <x:v>Exact title</x:v>
      </x:c>
      <x:c r="D4" s="251" t="str">
        <x:v>Authors / export</x:v>
      </x:c>
      <x:c r="E4" s="251" t="str">
        <x:v>Stable locator</x:v>
      </x:c>
      <x:c r="F4" s="251" t="str">
        <x:v>Use / qualification</x:v>
      </x:c>
    </x:row>
    <x:row r="5" ht="80" customHeight="1">
      <x:c r="A5" s="243" t="str">
        <x:v>Dataset</x:v>
      </x:c>
      <x:c r="B5" s="243" t="n">
        <x:v>2025</x:v>
      </x:c>
      <x:c r="C5" s="243" t="str">
        <x:v>Dataset for "A Detailed Characterization of Starlink One-way Delay", ACM LEONET 2025</x:v>
      </x:c>
      <x:c r="D5" s="243" t="str">
        <x:v>Garcia, Johan; Sundberg, Simon</x:v>
      </x:c>
      <x:c r="E5" s="243" t="str">
        <x:v>https://doi.org/10.5281/zenodo.16275284</x:v>
      </x:c>
      <x:c r="F5" s="243" t="str">
        <x:v>Measured uplink/downlink one-way delay; dataset metadata checked, raw files not inspected.</x:v>
      </x:c>
    </x:row>
    <x:row r="6" ht="80" customHeight="1">
      <x:c r="A6" s="243" t="str">
        <x:v>Conference paper</x:v>
      </x:c>
      <x:c r="B6" s="243" t="n">
        <x:v>2025</x:v>
      </x:c>
      <x:c r="C6" s="243" t="str">
        <x:v>A Detailed Characterization of Starlink One-way Delay</x:v>
      </x:c>
      <x:c r="D6" s="243" t="str">
        <x:v>Garcia, Johan; Sundberg, Simon; Brunstrom, Anna</x:v>
      </x:c>
      <x:c r="E6" s="243" t="str">
        <x:v>https://doi.org/10.1145/3748749.3749090</x:v>
      </x:c>
      <x:c r="F6" s="243" t="str">
        <x:v>Methodology for interpreting the Swedish delay dataset.</x:v>
      </x:c>
    </x:row>
    <x:row r="7" ht="80" customHeight="1">
      <x:c r="A7" s="243" t="str">
        <x:v>Dataset</x:v>
      </x:c>
      <x:c r="B7" s="243" t="n">
        <x:v>2026</x:v>
      </x:c>
      <x:c r="C7" s="243" t="str">
        <x:v>7-Day Starlink Performance Characterization in Athens, Greece (NEXASPHERE Project)</x:v>
      </x:c>
      <x:c r="D7" s="243" t="str">
        <x:v>Lyberopoulos, George; Theodoropoulou, Eleni; Pappas, George</x:v>
      </x:c>
      <x:c r="E7" s="243" t="str">
        <x:v>https://doi.org/10.5281/zenodo.20796667</x:v>
      </x:c>
      <x:c r="F7" s="243" t="str">
        <x:v>CSV/JSON nominal performance/telemetry; not an outage-rich sample.</x:v>
      </x:c>
    </x:row>
    <x:row r="8" ht="80" customHeight="1">
      <x:c r="A8" s="243" t="str">
        <x:v>Conference paper / open-data page</x:v>
      </x:c>
      <x:c r="B8" s="243" t="n">
        <x:v>2022</x:v>
      </x:c>
      <x:c r="C8" s="243" t="str">
        <x:v>A First Look at Starlink Performance</x:v>
      </x:c>
      <x:c r="D8" s="243" t="str">
        <x:v>Michel, François; Trevisan, Martino; Giordano, Danilo; Bonaventure, Olivier</x:v>
      </x:c>
      <x:c r="E8" s="243" t="str">
        <x:v>https://smartdata.polito.it/a-first-look-at-starlink-performance-open-data/</x:v>
      </x:c>
      <x:c r="F8" s="243" t="str">
        <x:v>Load, throughput, delay, loss. Verify publisher export for final APA entry; landing-page conference-year typo retained in audit.</x:v>
      </x:c>
    </x:row>
    <x:row r="9" ht="80" customHeight="1">
      <x:c r="A9" s="243" t="str">
        <x:v>Journal paper</x:v>
      </x:c>
      <x:c r="B9" s="243" t="n">
        <x:v>2026</x:v>
      </x:c>
      <x:c r="C9" s="243" t="str">
        <x:v>Starlink on the move: performance analysis and characterization of LEO connectivity in sub-equatorial environments</x:v>
      </x:c>
      <x:c r="D9" s="243" t="str">
        <x:v>Author metadata: use publisher citation export</x:v>
      </x:c>
      <x:c r="E9" s="243" t="str">
        <x:v>https://doi.org/10.1007/s12243-026-01189-2</x:v>
      </x:c>
      <x:c r="F9" s="243" t="str">
        <x:v>Dataset footnote exists; generic data-availability statement conflicts. Confirm exact data version with authors.</x:v>
      </x:c>
    </x:row>
    <x:row r="10" ht="80" customHeight="1">
      <x:c r="A10" s="243" t="str">
        <x:v>Conference paper</x:v>
      </x:c>
      <x:c r="B10" s="243" t="n">
        <x:v>2025</x:v>
      </x:c>
      <x:c r="C10" s="243" t="str">
        <x:v>Starlink in Northern Europe: A New Look at Stationary and In-motion Performance</x:v>
      </x:c>
      <x:c r="D10" s="243" t="str">
        <x:v>Ullah, Muhammad Asad; Heikkinen, Antti; Uitto, Mikko; Höyhtyä, Marko; Anttonen, Antti; Mikhaylov, Konstantin; Lind, Timo</x:v>
      </x:c>
      <x:c r="E10" s="243" t="str">
        <x:v>https://doi.org/10.1109/MeditCom64437.2025.11104426</x:v>
      </x:c>
      <x:c r="F10" s="243" t="str">
        <x:v>Published measured network behavior; raw data repository remains unconfirmed.</x:v>
      </x:c>
    </x:row>
    <x:row r="11" ht="80" customHeight="1">
      <x:c r="A11" s="243"/>
      <x:c r="B11" s="243"/>
      <x:c r="C11" s="243"/>
      <x:c r="D11" s="243"/>
      <x:c r="E11" s="243"/>
      <x:c r="F11" s="243"/>
    </x:row>
    <x:row r="12" ht="80" customHeight="1">
      <x:c r="A12" s="243"/>
      <x:c r="B12" s="243"/>
      <x:c r="C12" s="243"/>
      <x:c r="D12" s="243"/>
      <x:c r="E12" s="243"/>
      <x:c r="F12" s="243"/>
    </x:row>
  </x:sheetData>
  <x:mergeCells>
    <x:mergeCell ref="A1:F1"/>
    <x:mergeCell ref="A2:F2"/>
  </x:mergeCells>
  <x:pageMargins left="0.7" right="0.7" top="0.75" bottom="0.75" header="0.3" footer="0.3"/>
  <x:tableParts count="1">
    <x:tablePart xmlns:r="http://schemas.openxmlformats.org/officeDocument/2006/relationships" r:id="Rf92b6abe465a4ac0"/>
  </x:tableParts>
</x:worksheet>
</file>

<file path=xl/worksheets/sheet18.xml><?xml version="1.0" encoding="utf-8"?>
<x:worksheet xmlns:x="http://schemas.openxmlformats.org/spreadsheetml/2006/main">
  <x:sheetFormatPr defaultRowHeight="15"/>
  <x:cols>
    <x:col min="1" max="1" width="25"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60" t="str">
        <x:v>JAPAN / NICT — RESEARCHER RESPONSE</x:v>
      </x:c>
      <x:c r="B1" s="260"/>
      <x:c r="C1" s="260"/>
      <x:c r="D1" s="260"/>
      <x:c r="E1" s="260"/>
      <x:c r="F1" s="260"/>
    </x:row>
    <x:row r="2" ht="30" customHeight="1">
      <x:c r="A2" s="263" t="str">
        <x:v>14 Sep 2026 | Clarification requested | Public file/field selection remains open</x:v>
      </x:c>
      <x:c r="B2" s="263"/>
      <x:c r="C2" s="263"/>
      <x:c r="D2" s="263"/>
      <x:c r="E2" s="263"/>
      <x:c r="F2" s="263"/>
    </x:row>
    <x:row r="4" ht="23" customHeight="1">
      <x:c r="A4" s="264" t="str">
        <x:v>Item</x:v>
      </x:c>
      <x:c r="B4" s="264" t="str">
        <x:v>Recorded information</x:v>
      </x:c>
      <x:c r="C4" s="264"/>
      <x:c r="D4" s="264"/>
      <x:c r="E4" s="264"/>
      <x:c r="F4" s="264"/>
    </x:row>
    <x:row r="5" ht="46" customHeight="1">
      <x:c r="A5" s="273" t="str">
        <x:v>Status</x:v>
      </x:c>
      <x:c r="B5" s="268" t="str">
        <x:v>Responded — clarification requested. No files, dataset-specific links or use/citation terms supplied.</x:v>
      </x:c>
      <x:c r="C5" s="268"/>
      <x:c r="D5" s="268"/>
      <x:c r="E5" s="268"/>
      <x:c r="F5" s="268"/>
    </x:row>
    <x:row r="6" ht="46" customHeight="1">
      <x:c r="A6" s="274" t="str">
        <x:v>New POC</x:v>
      </x:c>
      <x:c r="B6" s="272" t="str">
        <x:v>Septi Perwitasari, Ph.D. — Senior Researcher, NICT</x:v>
      </x:c>
      <x:c r="C6" s="272"/>
      <x:c r="D6" s="272"/>
      <x:c r="E6" s="272"/>
      <x:c r="F6" s="272"/>
    </x:row>
    <x:row r="7" ht="46" customHeight="1">
      <x:c r="A7" s="273" t="str">
        <x:v>Email</x:v>
      </x:c>
      <x:c r="B7" s="268" t="str">
        <x:v>septi.perwitasari@nict.go.jp</x:v>
      </x:c>
      <x:c r="C7" s="268"/>
      <x:c r="D7" s="268"/>
      <x:c r="E7" s="268"/>
      <x:c r="F7" s="268"/>
    </x:row>
    <x:row r="8" ht="46" customHeight="1">
      <x:c r="A8" s="274" t="str">
        <x:v>Mailing list</x:v>
      </x:c>
      <x:c r="B8" s="272" t="str">
        <x:v>iono@ml.nict.go.jp</x:v>
      </x:c>
      <x:c r="C8" s="272"/>
      <x:c r="D8" s="272"/>
      <x:c r="E8" s="272"/>
      <x:c r="F8" s="272"/>
    </x:row>
    <x:row r="9" ht="46" customHeight="1">
      <x:c r="A9" s="273" t="str">
        <x:v>Affiliation</x:v>
      </x:c>
      <x:c r="B9" s="268" t="str">
        <x:v>Space Environment Laboratory; Electromagnetic Advanced and Infrastructure Research Center; Radio Research Institute; NICT. Taken from the supplied signature.</x:v>
      </x:c>
      <x:c r="C9" s="268"/>
      <x:c r="D9" s="268"/>
      <x:c r="E9" s="268"/>
      <x:c r="F9" s="268"/>
    </x:row>
    <x:row r="10" ht="46" customHeight="1">
      <x:c r="A10" s="274" t="str">
        <x:v>Telephone</x:v>
      </x:c>
      <x:c r="B10" s="272" t="str">
        <x:v>Signature: +81 042-327-7339. International dialing format: +81 42 327 7339.</x:v>
      </x:c>
      <x:c r="C10" s="272"/>
      <x:c r="D10" s="272"/>
      <x:c r="E10" s="272"/>
      <x:c r="F10" s="272"/>
    </x:row>
    <x:row r="11" ht="46" customHeight="1">
      <x:c r="A11" s="273" t="str">
        <x:v>Evidence date</x:v>
      </x:c>
      <x:c r="B11" s="268" t="str">
        <x:v>14 September 2026, as reported by Carlo. Screenshot clock 21:07 is a capture time, not the original email timestamp.</x:v>
      </x:c>
      <x:c r="C11" s="268"/>
      <x:c r="D11" s="268"/>
      <x:c r="E11" s="268"/>
      <x:c r="F11" s="268"/>
    </x:row>
    <x:row r="12" ht="46" customHeight="1">
      <x:c r="A12" s="274" t="str">
        <x:v>Thread / subject</x:v>
      </x:c>
      <x:c r="B12" s="272" t="str">
        <x:v>Re: [iono 573] GWU博士研究に関するデータ提供のお願い — 衛星通信リンクの遅延・可用性・通信途絶記録</x:v>
      </x:c>
      <x:c r="C12" s="272"/>
      <x:c r="D12" s="272"/>
      <x:c r="E12" s="272"/>
      <x:c r="F12" s="272"/>
    </x:row>
    <x:row r="13" ht="46" customHeight="1">
      <x:c r="A13" s="273" t="str">
        <x:v>What the reply says</x:v>
      </x:c>
      <x:c r="B13" s="268" t="str">
        <x:v>The ionospheric research group primarily provides ground-based observations, such as ionosonde data. The researcher reviewed the presentation and asks which ionosonde measurements, TEC data or other parameters are required.</x:v>
      </x:c>
      <x:c r="C13" s="268"/>
      <x:c r="D13" s="268"/>
      <x:c r="E13" s="268"/>
      <x:c r="F13" s="268"/>
    </x:row>
    <x:row r="14" ht="46" customHeight="1">
      <x:c r="A14" s="274" t="str">
        <x:v>Offer</x:v>
      </x:c>
      <x:c r="B14" s="272" t="str">
        <x:v>Will direct Carlo to the appropriate data source once the requirement is clarified. Not a commitment to supply a particular dataset.</x:v>
      </x:c>
      <x:c r="C14" s="272"/>
      <x:c r="D14" s="272"/>
      <x:c r="E14" s="272"/>
      <x:c r="F14" s="272"/>
    </x:row>
    <x:row r="15" ht="46" customHeight="1">
      <x:c r="A15" s="273" t="str">
        <x:v>Primary research measures</x:v>
      </x:c>
      <x:c r="B15" s="268" t="str">
        <x:v>Latency, uptime/availability, downtime, recovery, packet loss, throughput and queueing remain requested research fields. None is confirmed in this reply.</x:v>
      </x:c>
      <x:c r="C15" s="268"/>
      <x:c r="D15" s="268"/>
      <x:c r="E15" s="268"/>
      <x:c r="F15" s="268"/>
    </x:row>
    <x:row r="16" ht="46" customHeight="1">
      <x:c r="A16" s="274" t="str">
        <x:v>NICT scope boundary</x:v>
      </x:c>
      <x:c r="B16" s="272" t="str">
        <x:v>This group’s stated specialty is ionospheric observations. No institution-wide denial of direct network measurements was made.</x:v>
      </x:c>
      <x:c r="C16" s="272"/>
      <x:c r="D16" s="272"/>
      <x:c r="E16" s="272"/>
      <x:c r="F16" s="272"/>
    </x:row>
    <x:row r="17" ht="46" customHeight="1">
      <x:c r="A17" s="273" t="str">
        <x:v>Access / citation</x:v>
      </x:c>
      <x:c r="B17" s="268" t="str">
        <x:v>Public availability, exact files, station/region, period, cadence, units, quality flags, citation and reuse terms remain to confirm.</x:v>
      </x:c>
      <x:c r="C17" s="268"/>
      <x:c r="D17" s="268"/>
      <x:c r="E17" s="268"/>
      <x:c r="F17" s="268"/>
    </x:row>
    <x:row r="18" ht="46" customHeight="1">
      <x:c r="A18" s="274" t="str">
        <x:v>Next action — planned</x:v>
      </x:c>
      <x:c r="B18" s="272" t="str">
        <x:v>Specify the ionosonde/TEC product, historical period and sampling needs; request a small public sample and metadata. Ask separately for a satellite/network-measurement-group referral.</x:v>
      </x:c>
      <x:c r="C18" s="272"/>
      <x:c r="D18" s="272"/>
      <x:c r="E18" s="272"/>
      <x:c r="F18" s="272"/>
    </x:row>
    <x:row r="19" ht="46" customHeight="1">
      <x:c r="A19" s="273" t="str">
        <x:v>Communications history</x:v>
      </x:c>
      <x:c r="B19" s="268" t="str">
        <x:v>17 Aug: Japanese/English postal package. 13 Sep: NAC Gmail follow-up with methodology presentation. 14 Sep: researcher response supplied here. Further clarification is not shown sent.</x:v>
      </x:c>
      <x:c r="C19" s="268"/>
      <x:c r="D19" s="268"/>
      <x:c r="E19" s="268"/>
      <x:c r="F19" s="268"/>
    </x:row>
    <x:row r="20" ht="60" customHeight="1">
      <x:c r="A20" s="274" t="str">
        <x:v>Evidence handling</x:v>
      </x:c>
      <x:c r="B20" s="272" t="str">
        <x:v>User screenshots 1000717532.jpg, 1000717533.jpg, 1000717534.jpg; received date reported by Carlo: 14 Sep 2026. Thread: [iono 573]. Two NAC Gmail searches did not locate the new response; screenshots are the evidence for this entry. Do not fabricate a message ID or delivery time.</x:v>
      </x:c>
      <x:c r="C20" s="272"/>
      <x:c r="D20" s="272"/>
      <x:c r="E20" s="272"/>
      <x:c r="F20" s="272"/>
    </x:row>
    <x:row r="21" ht="46" customHeight="1">
      <x:c r="A21" s="273" t="str">
        <x:v>Processed event key</x:v>
      </x:c>
      <x:c r="B21" s="268" t="str">
        <x:v>JP-NICT-20260914-IONO573-SEPTI</x:v>
      </x:c>
      <x:c r="C21" s="268"/>
      <x:c r="D21" s="268"/>
      <x:c r="E21" s="268"/>
      <x:c r="F21" s="268"/>
    </x:row>
    <x:row r="22" ht="46" customHeight="1">
      <x:c r="A22" s="274" t="str">
        <x:v>Slide-ready update</x:v>
      </x:c>
      <x:c r="B22" s="272" t="str">
        <x:v>NICT’s Dr. Septi Perwitasari reviewed the presentation and requested ionosonde/TEC specifics; source guidance offered, files and field selection pending. [14 Sep 2026]</x:v>
      </x:c>
      <x:c r="C22" s="272"/>
      <x:c r="D22" s="272"/>
      <x:c r="E22" s="272"/>
      <x:c r="F22" s="272"/>
    </x:row>
    <x:row r="24" ht="26" customHeight="1">
      <x:c r="A24" s="264" t="str">
        <x:v>REPLY TRANSCRIPTION — screenshot line wrapping normalized</x:v>
      </x:c>
      <x:c r="B24" s="264"/>
      <x:c r="C24" s="264"/>
      <x:c r="D24" s="264"/>
      <x:c r="E24" s="264"/>
      <x:c r="F24" s="264"/>
    </x:row>
    <x:row r="25" ht="335" customHeight="1">
      <x:c r="A25" s="257" t="str">
        <x:v>Dear Carlo Nino,
Thank you for sending your inquiry to our mailing list.
This mailing list is managed by our ionospheric research group, which primarily provides ground-based ionospheric observations, such as ionosonde data.
After reviewing your presentation, we are not entirely sure what specific type of data you are requesting. If you could provide more details about the data you need, such as ionosonde measurements, TEC data, or other ionospheric parameters, we would be happy to direct you to the appropriate data source.
Best regards,
Septi Perwitasari, Ph.D
Senior Researcher
Space Environment Laboratory
Electromagnetic Advanced and Infrastructure Research Center
Radio Research Institute
NICT
Tel. +81 042-327-7339</x:v>
      </x:c>
      <x:c r="B25" s="257"/>
      <x:c r="C25" s="257"/>
      <x:c r="D25" s="257"/>
      <x:c r="E25" s="257"/>
      <x:c r="F25" s="257"/>
    </x:row>
  </x:sheetData>
  <x:mergeCells>
    <x:mergeCell ref="A1:F1"/>
    <x:mergeCell ref="A2:F2"/>
    <x:mergeCell ref="B4:F4"/>
    <x:mergeCell ref="B5:F5"/>
    <x:mergeCell ref="B6:F6"/>
    <x:mergeCell ref="B7:F7"/>
    <x:mergeCell ref="B8:F8"/>
    <x:mergeCell ref="B9:F9"/>
    <x:mergeCell ref="B10:F10"/>
    <x:mergeCell ref="B11:F11"/>
    <x:mergeCell ref="B12:F12"/>
    <x:mergeCell ref="B13:F13"/>
    <x:mergeCell ref="B14:F14"/>
    <x:mergeCell ref="B15:F15"/>
    <x:mergeCell ref="B16:F16"/>
    <x:mergeCell ref="B17:F17"/>
    <x:mergeCell ref="B18:F18"/>
    <x:mergeCell ref="B19:F19"/>
    <x:mergeCell ref="B20:F20"/>
    <x:mergeCell ref="B21:F21"/>
    <x:mergeCell ref="B22:F22"/>
    <x:mergeCell ref="A24:F24"/>
    <x:mergeCell ref="A25:F25"/>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86" t="str">
        <x:v>Remote &amp; Historical Research Sources</x:v>
      </x:c>
      <x:c r="B1" s="286"/>
      <x:c r="C1" s="286"/>
      <x:c r="D1" s="286"/>
      <x:c r="E1" s="286"/>
      <x:c r="F1" s="286"/>
    </x:row>
    <x:row r="2" ht="44" customHeight="1">
      <x:c r="A2" s="287" t="str">
        <x:v>Discovery addendum • 15 Sep 2026 • No new correspondence or dataset adoption. Earlier country-response counts and records are unchanged.</x:v>
      </x:c>
      <x:c r="B2" s="287"/>
      <x:c r="C2" s="287"/>
      <x:c r="D2" s="287"/>
      <x:c r="E2" s="287"/>
      <x:c r="F2" s="287"/>
    </x:row>
    <x:row r="3">
      <x:c r="A3" s="284"/>
      <x:c r="B3" s="284"/>
      <x:c r="C3" s="284"/>
      <x:c r="D3" s="284"/>
      <x:c r="E3" s="284"/>
      <x:c r="F3" s="284"/>
    </x:row>
    <x:row r="4">
      <x:c r="A4" s="284" t="str">
        <x:v>Source cards</x:v>
      </x:c>
      <x:c r="B4" s="284" t="n">
        <x:f>COUNTA(A7:A22)</x:f>
        <x:v>16</x:v>
      </x:c>
      <x:c r="C4" s="284" t="str">
        <x:v>Existing candidates are retained, not counted as new replies.</x:v>
      </x:c>
      <x:c r="D4" s="284"/>
      <x:c r="E4" s="284"/>
      <x:c r="F4" s="284"/>
    </x:row>
    <x:row r="5">
      <x:c r="A5" s="284"/>
      <x:c r="B5" s="284"/>
      <x:c r="C5" s="284"/>
      <x:c r="D5" s="284"/>
      <x:c r="E5" s="284"/>
      <x:c r="F5" s="284"/>
    </x:row>
    <x:row r="6" ht="25" customHeight="1">
      <x:c r="A6" s="289" t="str">
        <x:v>ID</x:v>
      </x:c>
      <x:c r="B6" s="289" t="str">
        <x:v>Country / source</x:v>
      </x:c>
      <x:c r="C6" s="289" t="str"/>
      <x:c r="D6" s="289" t="str">
        <x:v>Evidence class</x:v>
      </x:c>
      <x:c r="E6" s="289" t="str"/>
      <x:c r="F6" s="289" t="str">
        <x:v>Action</x:v>
      </x:c>
    </x:row>
    <x:row r="7" ht="55" customHeight="1">
      <x:c r="A7" s="290" t="str">
        <x:v>MX-01</x:v>
      </x:c>
      <x:c r="B7" s="290" t="str">
        <x:v>Mexico — UNAM / SCiESMEX / LANCE</x:v>
      </x:c>
      <x:c r="C7" s="290"/>
      <x:c r="D7" s="290" t="str">
        <x:v>Environmental observations</x:v>
      </x:c>
      <x:c r="E7" s="290"/>
      <x:c r="F7" s="290" t="str">
        <x:v>Screen sample / confirm access</x:v>
      </x:c>
    </x:row>
    <x:row r="8" ht="55" customHeight="1">
      <x:c r="A8" s="291" t="str">
        <x:v>AR-01</x:v>
      </x:c>
      <x:c r="B8" s="291" t="str">
        <x:v>Argentina — Universidad Nacional de La Plata / SIRGAS</x:v>
      </x:c>
      <x:c r="C8" s="291"/>
      <x:c r="D8" s="291" t="str">
        <x:v>GNSS-derived environmental maps</x:v>
      </x:c>
      <x:c r="E8" s="291"/>
      <x:c r="F8" s="291" t="str">
        <x:v>Screen sample / confirm access</x:v>
      </x:c>
    </x:row>
    <x:row r="9" ht="55" customHeight="1">
      <x:c r="A9" s="290" t="str">
        <x:v>AQ-01</x:v>
      </x:c>
      <x:c r="B9" s="290" t="str">
        <x:v>Antarctica — US Antarctic Program / South Pole</x:v>
      </x:c>
      <x:c r="C9" s="290"/>
      <x:c r="D9" s="290" t="str">
        <x:v>Planned satellite contact schedules</x:v>
      </x:c>
      <x:c r="E9" s="290"/>
      <x:c r="F9" s="290" t="str">
        <x:v>Screen sample / confirm access</x:v>
      </x:c>
    </x:row>
    <x:row r="10" ht="55" customHeight="1">
      <x:c r="A10" s="291" t="str">
        <x:v>AQ-02</x:v>
      </x:c>
      <x:c r="B10" s="291" t="str">
        <x:v>Antarctica / Arctic — UiT Tromsø Geophysical Observatory</x:v>
      </x:c>
      <x:c r="C10" s="291"/>
      <x:c r="D10" s="291" t="str">
        <x:v>Geomagnetic observations</x:v>
      </x:c>
      <x:c r="E10" s="291"/>
      <x:c r="F10" s="291" t="str">
        <x:v>Screen sample / confirm access</x:v>
      </x:c>
    </x:row>
    <x:row r="11" ht="55" customHeight="1">
      <x:c r="A11" s="290" t="str">
        <x:v>BR-01</x:v>
      </x:c>
      <x:c r="B11" s="290" t="str">
        <x:v>Brazil — Universidade Federal Fluminense / MídiaCom</x:v>
      </x:c>
      <x:c r="C11" s="290"/>
      <x:c r="D11" s="290" t="str">
        <x:v>Direct satellite-network measurements</x:v>
      </x:c>
      <x:c r="E11" s="290"/>
      <x:c r="F11" s="290" t="str">
        <x:v>Screen sample / confirm access</x:v>
      </x:c>
    </x:row>
    <x:row r="12" ht="55" customHeight="1">
      <x:c r="A12" s="291" t="str">
        <x:v>FI-01</x:v>
      </x:c>
      <x:c r="B12" s="291" t="str">
        <x:v>Finland — VTT / University of Oulu</x:v>
      </x:c>
      <x:c r="C12" s="291" t="str">
        <x:v>Responded 23 Sep — data no longer available</x:v>
      </x:c>
      <x:c r="D12" s="291" t="str">
        <x:v>Direct satellite-network measurements</x:v>
      </x:c>
      <x:c r="E12" s="291" t="str">
        <x:v>CLOSED — no retained dataset</x:v>
      </x:c>
      <x:c r="F12" s="291" t="str">
        <x:v>Retain paper as reference only; no further data request</x:v>
      </x:c>
    </x:row>
    <x:row r="13" ht="55" customHeight="1">
      <x:c r="A13" s="290" t="str">
        <x:v>LK-01</x:v>
      </x:c>
      <x:c r="B13" s="290" t="str">
        <x:v>Sri Lanka — Lanka Education and Research Network (LEARN)</x:v>
      </x:c>
      <x:c r="C13" s="290"/>
      <x:c r="D13" s="290" t="str">
        <x:v>Terrestrial academic-network measurements</x:v>
      </x:c>
      <x:c r="E13" s="290"/>
      <x:c r="F13" s="290" t="str">
        <x:v>Screen sample / confirm access</x:v>
      </x:c>
    </x:row>
    <x:row r="14" ht="55" customHeight="1">
      <x:c r="A14" s="291" t="str">
        <x:v>IN-01</x:v>
      </x:c>
      <x:c r="B14" s="291" t="str">
        <x:v>India — Indian Institute of Geomagnetism / WDC Mumbai</x:v>
      </x:c>
      <x:c r="C14" s="291"/>
      <x:c r="D14" s="291" t="str">
        <x:v>Geomagnetic environmental observations</x:v>
      </x:c>
      <x:c r="E14" s="291"/>
      <x:c r="F14" s="291" t="str">
        <x:v>Screen sample / confirm access</x:v>
      </x:c>
    </x:row>
    <x:row r="15" ht="55" customHeight="1">
      <x:c r="A15" s="290" t="str">
        <x:v>IN-02</x:v>
      </x:c>
      <x:c r="B15" s="290" t="str">
        <x:v>India — Kolkata-area research observatory / VLF study</x:v>
      </x:c>
      <x:c r="C15" s="290"/>
      <x:c r="D15" s="290" t="str">
        <x:v>Measured radio-propagation disturbance</x:v>
      </x:c>
      <x:c r="E15" s="290"/>
      <x:c r="F15" s="290" t="str">
        <x:v>Screen sample / confirm access</x:v>
      </x:c>
    </x:row>
    <x:row r="16" ht="55" customHeight="1">
      <x:c r="A16" s="291" t="str">
        <x:v>BD-01</x:v>
      </x:c>
      <x:c r="B16" s="291" t="str">
        <x:v>Bangladesh — Bangladesh Research and Education Network (BdREN)</x:v>
      </x:c>
      <x:c r="C16" s="291"/>
      <x:c r="D16" s="291" t="str">
        <x:v>Academic network / data-holder inquiry</x:v>
      </x:c>
      <x:c r="E16" s="291"/>
      <x:c r="F16" s="291" t="str">
        <x:v>Screen sample / confirm access</x:v>
      </x:c>
    </x:row>
    <x:row r="17" ht="55" customHeight="1">
      <x:c r="A17" s="290" t="str">
        <x:v>BD-02</x:v>
      </x:c>
      <x:c r="B17" s="290" t="str">
        <x:v>Bangladesh / global — IODA and OONI</x:v>
      </x:c>
      <x:c r="C17" s="290"/>
      <x:c r="D17" s="290" t="str">
        <x:v>Observed Internet disruption / reachability evidence</x:v>
      </x:c>
      <x:c r="E17" s="290"/>
      <x:c r="F17" s="290" t="str">
        <x:v>Screen sample / confirm access</x:v>
      </x:c>
    </x:row>
    <x:row r="18" ht="55" customHeight="1">
      <x:c r="A18" s="291" t="str">
        <x:v>TDC-01</x:v>
      </x:c>
      <x:c r="B18" s="291" t="str">
        <x:v>Tristan da Cunha — GFZ / INTERMAGNET / NASA SPDF</x:v>
      </x:c>
      <x:c r="C18" s="291"/>
      <x:c r="D18" s="291" t="str">
        <x:v>Remote-island geomagnetic observations</x:v>
      </x:c>
      <x:c r="E18" s="291"/>
      <x:c r="F18" s="291" t="str">
        <x:v>Screen sample / confirm access</x:v>
      </x:c>
    </x:row>
    <x:row r="19" ht="55" customHeight="1">
      <x:c r="A19" s="290" t="str">
        <x:v>ISL-01</x:v>
      </x:c>
      <x:c r="B19" s="290" t="str">
        <x:v>Christmas Island / Kiritimati — historical ionospheric archives</x:v>
      </x:c>
      <x:c r="C19" s="290"/>
      <x:c r="D19" s="290" t="str">
        <x:v>Historical ionospheric parameters / medians</x:v>
      </x:c>
      <x:c r="E19" s="290"/>
      <x:c r="F19" s="290" t="str">
        <x:v>Screen sample / confirm access</x:v>
      </x:c>
    </x:row>
    <x:row r="20" ht="55" customHeight="1">
      <x:c r="A20" s="291" t="str">
        <x:v>CW-01</x:v>
      </x:c>
      <x:c r="B20" s="291" t="str">
        <x:v>Canada / historical space research — Alouette and ISIS (NASA archive)</x:v>
      </x:c>
      <x:c r="C20" s="291"/>
      <x:c r="D20" s="291" t="str">
        <x:v>Digitized analogue-era ionospheric satellite data</x:v>
      </x:c>
      <x:c r="E20" s="291"/>
      <x:c r="F20" s="291" t="str">
        <x:v>Screen sample / confirm access</x:v>
      </x:c>
    </x:row>
    <x:row r="21" ht="55" customHeight="1">
      <x:c r="A21" s="290" t="str">
        <x:v>CW-02</x:v>
      </x:c>
      <x:c r="B21" s="290" t="str">
        <x:v>Worldwide historical stations — BoM / former NGDC ionosondes</x:v>
      </x:c>
      <x:c r="C21" s="290"/>
      <x:c r="D21" s="290" t="str">
        <x:v>Cold War-era numerical ionospheric records</x:v>
      </x:c>
      <x:c r="E21" s="290"/>
      <x:c r="F21" s="290" t="str">
        <x:v>Screen sample / confirm access</x:v>
      </x:c>
    </x:row>
    <x:row r="22" ht="55" customHeight="1">
      <x:c r="A22" s="291" t="str">
        <x:v>NET-01</x:v>
      </x:c>
      <x:c r="B22" s="291" t="str">
        <x:v>Global — Measurement Lab (M-Lab) — NDT / BigQuery</x:v>
      </x:c>
      <x:c r="C22" s="291"/>
      <x:c r="D22" s="291" t="str">
        <x:v>ASN-filterable Internet performance measurements</x:v>
      </x:c>
      <x:c r="E22" s="291"/>
      <x:c r="F22" s="291" t="str">
        <x:v>Provider-confirmed NDT/BigQuery; query Starlink ASN sample</x:v>
      </x:c>
    </x:row>
    <x:row r="23">
      <x:c r="A23" s="284"/>
      <x:c r="B23" s="284"/>
      <x:c r="C23" s="284"/>
      <x:c r="D23" s="284"/>
      <x:c r="E23" s="284"/>
      <x:c r="F23" s="284"/>
    </x:row>
    <x:row r="24" ht="27" customHeight="1">
      <x:c r="A24" s="287" t="str">
        <x:v>Classification rule: measured network performance ≠ environmental observation ≠ planned contact schedule. Historical radio delay is not packet-network latency. All newly found items remain candidates until samples and reuse conditions are checked.</x:v>
      </x:c>
      <x:c r="B24" s="287"/>
      <x:c r="C24" s="287"/>
      <x:c r="D24" s="287"/>
      <x:c r="E24" s="287"/>
      <x:c r="F24" s="287"/>
    </x:row>
    <x:row r="25" ht="27" customHeight="1">
      <x:c r="A25" s="287"/>
      <x:c r="B25" s="287"/>
      <x:c r="C25" s="287"/>
      <x:c r="D25" s="287"/>
      <x:c r="E25" s="287"/>
      <x:c r="F25" s="287"/>
    </x:row>
    <x:row r="26">
      <x:c r="A26" s="284"/>
      <x:c r="B26" s="284"/>
      <x:c r="C26" s="284"/>
      <x:c r="D26" s="284"/>
      <x:c r="E26" s="284"/>
      <x:c r="F26" s="284"/>
    </x:row>
    <x:row r="27">
      <x:c r="A27" s="284"/>
      <x:c r="B27" s="284"/>
      <x:c r="C27" s="284"/>
      <x:c r="D27" s="284"/>
      <x:c r="E27" s="284"/>
      <x:c r="F27" s="284"/>
    </x:row>
    <x:row r="28">
      <x:c r="A28" s="284"/>
      <x:c r="B28" s="284"/>
      <x:c r="C28" s="284"/>
      <x:c r="D28" s="284"/>
      <x:c r="E28" s="284"/>
      <x:c r="F28" s="284"/>
    </x:row>
    <x:row r="29">
      <x:c r="A29" s="284"/>
      <x:c r="B29" s="284"/>
      <x:c r="C29" s="284"/>
      <x:c r="D29" s="284"/>
      <x:c r="E29" s="284"/>
      <x:c r="F29" s="284"/>
    </x:row>
    <x:row r="30">
      <x:c r="A30" s="284"/>
      <x:c r="B30" s="284"/>
      <x:c r="C30" s="284"/>
      <x:c r="D30" s="284"/>
      <x:c r="E30" s="284"/>
      <x:c r="F30" s="284"/>
    </x:row>
    <x:row r="31">
      <x:c r="A31" s="284"/>
      <x:c r="B31" s="284"/>
      <x:c r="C31" s="284"/>
      <x:c r="D31" s="284"/>
      <x:c r="E31" s="284"/>
      <x:c r="F31" s="284"/>
    </x:row>
    <x:row r="32">
      <x:c r="A32" s="284"/>
      <x:c r="B32" s="284"/>
      <x:c r="C32" s="284"/>
      <x:c r="D32" s="284"/>
      <x:c r="E32" s="284"/>
      <x:c r="F32" s="284"/>
    </x:row>
    <x:row r="33">
      <x:c r="A33" s="284"/>
      <x:c r="B33" s="284"/>
      <x:c r="C33" s="284"/>
      <x:c r="D33" s="284"/>
      <x:c r="E33" s="284"/>
      <x:c r="F33" s="284"/>
    </x:row>
    <x:row r="34">
      <x:c r="A34" s="284"/>
      <x:c r="B34" s="284"/>
      <x:c r="C34" s="284"/>
      <x:c r="D34" s="284"/>
      <x:c r="E34" s="284"/>
      <x:c r="F34" s="284"/>
    </x:row>
    <x:row r="35">
      <x:c r="A35" s="284"/>
      <x:c r="B35" s="284"/>
      <x:c r="C35" s="284"/>
      <x:c r="D35" s="284"/>
      <x:c r="E35" s="284"/>
      <x:c r="F35" s="284"/>
    </x:row>
    <x:row r="36">
      <x:c r="A36" s="284"/>
      <x:c r="B36" s="284"/>
      <x:c r="C36" s="284"/>
      <x:c r="D36" s="284"/>
      <x:c r="E36" s="284"/>
      <x:c r="F36" s="284"/>
    </x:row>
    <x:row r="37">
      <x:c r="A37" s="284"/>
      <x:c r="B37" s="284"/>
      <x:c r="C37" s="284"/>
      <x:c r="D37" s="284"/>
      <x:c r="E37" s="284"/>
      <x:c r="F37" s="284"/>
    </x:row>
    <x:row r="38">
      <x:c r="A38" s="284"/>
      <x:c r="B38" s="284"/>
      <x:c r="C38" s="284"/>
      <x:c r="D38" s="284"/>
      <x:c r="E38" s="284"/>
      <x:c r="F38" s="284"/>
    </x:row>
    <x:row r="39">
      <x:c r="A39" s="284"/>
      <x:c r="B39" s="284"/>
      <x:c r="C39" s="284"/>
      <x:c r="D39" s="284"/>
      <x:c r="E39" s="284"/>
      <x:c r="F39" s="284"/>
    </x:row>
    <x:row r="40">
      <x:c r="A40" s="284"/>
      <x:c r="B40" s="284"/>
      <x:c r="C40" s="284"/>
      <x:c r="D40" s="284"/>
      <x:c r="E40" s="284"/>
      <x:c r="F40" s="284"/>
    </x:row>
    <x:row r="41">
      <x:c r="A41" s="284"/>
      <x:c r="B41" s="284"/>
      <x:c r="C41" s="284"/>
      <x:c r="D41" s="284"/>
      <x:c r="E41" s="284"/>
      <x:c r="F41" s="284"/>
    </x:row>
    <x:row r="42">
      <x:c r="A42" s="284"/>
      <x:c r="B42" s="284"/>
      <x:c r="C42" s="284"/>
      <x:c r="D42" s="284"/>
      <x:c r="E42" s="284"/>
      <x:c r="F42" s="284"/>
    </x:row>
    <x:row r="43">
      <x:c r="A43" s="284"/>
      <x:c r="B43" s="284"/>
      <x:c r="C43" s="284"/>
      <x:c r="D43" s="284"/>
      <x:c r="E43" s="284"/>
      <x:c r="F43" s="284"/>
    </x:row>
    <x:row r="44">
      <x:c r="A44" s="284"/>
      <x:c r="B44" s="284"/>
      <x:c r="C44" s="284"/>
      <x:c r="D44" s="284"/>
      <x:c r="E44" s="284"/>
      <x:c r="F44" s="284"/>
    </x:row>
    <x:row r="45">
      <x:c r="A45" s="284"/>
      <x:c r="B45" s="284"/>
      <x:c r="C45" s="284"/>
      <x:c r="D45" s="284"/>
      <x:c r="E45" s="284"/>
      <x:c r="F45" s="284"/>
    </x:row>
    <x:row r="46">
      <x:c r="A46" s="284"/>
      <x:c r="B46" s="284"/>
      <x:c r="C46" s="284"/>
      <x:c r="D46" s="284"/>
      <x:c r="E46" s="284"/>
      <x:c r="F46" s="284"/>
    </x:row>
    <x:row r="47">
      <x:c r="A47" s="284"/>
      <x:c r="B47" s="284"/>
      <x:c r="C47" s="284"/>
      <x:c r="D47" s="284"/>
      <x:c r="E47" s="284"/>
      <x:c r="F47" s="284"/>
    </x:row>
    <x:row r="48">
      <x:c r="A48" s="284"/>
      <x:c r="B48" s="284"/>
      <x:c r="C48" s="284"/>
      <x:c r="D48" s="284"/>
      <x:c r="E48" s="284"/>
      <x:c r="F48" s="284"/>
    </x:row>
    <x:row r="49">
      <x:c r="A49" s="284"/>
      <x:c r="B49" s="284"/>
      <x:c r="C49" s="284"/>
      <x:c r="D49" s="284"/>
      <x:c r="E49" s="284"/>
      <x:c r="F49" s="284"/>
    </x:row>
    <x:row r="50">
      <x:c r="A50" s="284"/>
      <x:c r="B50" s="284"/>
      <x:c r="C50" s="284"/>
      <x:c r="D50" s="284"/>
      <x:c r="E50" s="284"/>
      <x:c r="F50" s="284"/>
    </x:row>
    <x:row r="51">
      <x:c r="A51" s="284"/>
      <x:c r="B51" s="284"/>
      <x:c r="C51" s="284"/>
      <x:c r="D51" s="284"/>
      <x:c r="E51" s="284"/>
      <x:c r="F51" s="284"/>
    </x:row>
    <x:row r="52">
      <x:c r="A52" s="284"/>
      <x:c r="B52" s="284"/>
      <x:c r="C52" s="284"/>
      <x:c r="D52" s="284"/>
      <x:c r="E52" s="284"/>
      <x:c r="F52" s="284"/>
    </x:row>
    <x:row r="53">
      <x:c r="A53" s="284"/>
      <x:c r="B53" s="284"/>
      <x:c r="C53" s="284"/>
      <x:c r="D53" s="284"/>
      <x:c r="E53" s="284"/>
      <x:c r="F53" s="284"/>
    </x:row>
    <x:row r="54">
      <x:c r="A54" s="284"/>
      <x:c r="B54" s="284"/>
      <x:c r="C54" s="284"/>
      <x:c r="D54" s="284"/>
      <x:c r="E54" s="284"/>
      <x:c r="F54" s="284"/>
    </x:row>
    <x:row r="55">
      <x:c r="A55" s="284"/>
      <x:c r="B55" s="284"/>
      <x:c r="C55" s="284"/>
      <x:c r="D55" s="284"/>
      <x:c r="E55" s="284"/>
      <x:c r="F55" s="284"/>
    </x:row>
    <x:row r="56">
      <x:c r="A56" s="284"/>
      <x:c r="B56" s="284"/>
      <x:c r="C56" s="284"/>
      <x:c r="D56" s="284"/>
      <x:c r="E56" s="284"/>
      <x:c r="F56" s="284"/>
    </x:row>
    <x:row r="57">
      <x:c r="A57" s="284"/>
      <x:c r="B57" s="284"/>
      <x:c r="C57" s="284"/>
      <x:c r="D57" s="284"/>
      <x:c r="E57" s="284"/>
      <x:c r="F57" s="284"/>
    </x:row>
    <x:row r="58">
      <x:c r="A58" s="284"/>
      <x:c r="B58" s="284"/>
      <x:c r="C58" s="284"/>
      <x:c r="D58" s="284"/>
      <x:c r="E58" s="284"/>
      <x:c r="F58" s="284"/>
    </x:row>
    <x:row r="59">
      <x:c r="A59" s="284"/>
      <x:c r="B59" s="284"/>
      <x:c r="C59" s="284"/>
      <x:c r="D59" s="284"/>
      <x:c r="E59" s="284"/>
      <x:c r="F59" s="284"/>
    </x:row>
    <x:row r="60">
      <x:c r="A60" s="284"/>
      <x:c r="B60" s="284"/>
      <x:c r="C60" s="284"/>
      <x:c r="D60" s="284"/>
      <x:c r="E60" s="284"/>
      <x:c r="F60" s="284"/>
    </x:row>
    <x:row r="61">
      <x:c r="A61" s="284"/>
      <x:c r="B61" s="284"/>
      <x:c r="C61" s="284"/>
      <x:c r="D61" s="284"/>
      <x:c r="E61" s="284"/>
      <x:c r="F61" s="284"/>
    </x:row>
    <x:row r="62">
      <x:c r="A62" s="284"/>
      <x:c r="B62" s="284"/>
      <x:c r="C62" s="284"/>
      <x:c r="D62" s="284"/>
      <x:c r="E62" s="284"/>
      <x:c r="F62" s="284"/>
    </x:row>
    <x:row r="63">
      <x:c r="A63" s="284"/>
      <x:c r="B63" s="284"/>
      <x:c r="C63" s="284"/>
      <x:c r="D63" s="284"/>
      <x:c r="E63" s="284"/>
      <x:c r="F63" s="284"/>
    </x:row>
    <x:row r="64">
      <x:c r="A64" s="284"/>
      <x:c r="B64" s="284"/>
      <x:c r="C64" s="284"/>
      <x:c r="D64" s="284"/>
      <x:c r="E64" s="284"/>
      <x:c r="F64" s="284"/>
    </x:row>
    <x:row r="65">
      <x:c r="A65" s="284"/>
      <x:c r="B65" s="284"/>
      <x:c r="C65" s="284"/>
      <x:c r="D65" s="284"/>
      <x:c r="E65" s="284"/>
      <x:c r="F65" s="284"/>
    </x:row>
    <x:row r="66">
      <x:c r="A66" s="284"/>
      <x:c r="B66" s="284"/>
      <x:c r="C66" s="284"/>
      <x:c r="D66" s="284"/>
      <x:c r="E66" s="284"/>
      <x:c r="F66" s="284"/>
    </x:row>
    <x:row r="67">
      <x:c r="A67" s="284"/>
      <x:c r="B67" s="284"/>
      <x:c r="C67" s="284"/>
      <x:c r="D67" s="284"/>
      <x:c r="E67" s="284"/>
      <x:c r="F67" s="284"/>
    </x:row>
    <x:row r="68">
      <x:c r="A68" s="284"/>
      <x:c r="B68" s="284"/>
      <x:c r="C68" s="284"/>
      <x:c r="D68" s="284"/>
      <x:c r="E68" s="284"/>
      <x:c r="F68" s="284"/>
    </x:row>
    <x:row r="69">
      <x:c r="A69" s="284"/>
      <x:c r="B69" s="284"/>
      <x:c r="C69" s="284"/>
      <x:c r="D69" s="284"/>
      <x:c r="E69" s="284"/>
      <x:c r="F69" s="284"/>
    </x:row>
    <x:row r="70">
      <x:c r="A70" s="284"/>
      <x:c r="B70" s="284"/>
      <x:c r="C70" s="284"/>
      <x:c r="D70" s="284"/>
      <x:c r="E70" s="284"/>
      <x:c r="F70" s="284"/>
    </x:row>
    <x:row r="71">
      <x:c r="A71" s="284"/>
      <x:c r="B71" s="284"/>
      <x:c r="C71" s="284"/>
      <x:c r="D71" s="284"/>
      <x:c r="E71" s="284"/>
      <x:c r="F71" s="284"/>
    </x:row>
    <x:row r="72">
      <x:c r="A72" s="284"/>
      <x:c r="B72" s="284"/>
      <x:c r="C72" s="284"/>
      <x:c r="D72" s="284"/>
      <x:c r="E72" s="284"/>
      <x:c r="F72" s="284"/>
    </x:row>
    <x:row r="73">
      <x:c r="A73" s="284"/>
      <x:c r="B73" s="284"/>
      <x:c r="C73" s="284"/>
      <x:c r="D73" s="284"/>
      <x:c r="E73" s="284"/>
      <x:c r="F73" s="284"/>
    </x:row>
    <x:row r="74">
      <x:c r="A74" s="284"/>
      <x:c r="B74" s="284"/>
      <x:c r="C74" s="284"/>
      <x:c r="D74" s="284"/>
      <x:c r="E74" s="284"/>
      <x:c r="F74" s="284"/>
    </x:row>
    <x:row r="75">
      <x:c r="A75" s="284"/>
      <x:c r="B75" s="284"/>
      <x:c r="C75" s="284"/>
      <x:c r="D75" s="284"/>
      <x:c r="E75" s="284"/>
      <x:c r="F75" s="284"/>
    </x:row>
    <x:row r="76">
      <x:c r="A76" s="284"/>
      <x:c r="B76" s="284"/>
      <x:c r="C76" s="284"/>
      <x:c r="D76" s="284"/>
      <x:c r="E76" s="284"/>
      <x:c r="F76" s="284"/>
    </x:row>
    <x:row r="77">
      <x:c r="A77" s="284"/>
      <x:c r="B77" s="284"/>
      <x:c r="C77" s="284"/>
      <x:c r="D77" s="284"/>
      <x:c r="E77" s="284"/>
      <x:c r="F77" s="284"/>
    </x:row>
    <x:row r="78">
      <x:c r="A78" s="284"/>
      <x:c r="B78" s="284"/>
      <x:c r="C78" s="284"/>
      <x:c r="D78" s="284"/>
      <x:c r="E78" s="284"/>
      <x:c r="F78" s="284"/>
    </x:row>
    <x:row r="79">
      <x:c r="A79" s="284"/>
      <x:c r="B79" s="284"/>
      <x:c r="C79" s="284"/>
      <x:c r="D79" s="284"/>
      <x:c r="E79" s="284"/>
      <x:c r="F79" s="284"/>
    </x:row>
    <x:row r="80">
      <x:c r="A80" s="284"/>
      <x:c r="B80" s="284"/>
      <x:c r="C80" s="284"/>
      <x:c r="D80" s="284"/>
      <x:c r="E80" s="284"/>
      <x:c r="F80" s="284"/>
    </x:row>
    <x:row r="81">
      <x:c r="A81" s="284"/>
      <x:c r="B81" s="284"/>
      <x:c r="C81" s="284"/>
      <x:c r="D81" s="284"/>
      <x:c r="E81" s="284"/>
      <x:c r="F81" s="284"/>
    </x:row>
    <x:row r="82">
      <x:c r="A82" s="284"/>
      <x:c r="B82" s="284"/>
      <x:c r="C82" s="284"/>
      <x:c r="D82" s="284"/>
      <x:c r="E82" s="284"/>
      <x:c r="F82" s="284"/>
    </x:row>
    <x:row r="83">
      <x:c r="A83" s="284"/>
      <x:c r="B83" s="284"/>
      <x:c r="C83" s="284"/>
      <x:c r="D83" s="284"/>
      <x:c r="E83" s="284"/>
      <x:c r="F83" s="284"/>
    </x:row>
    <x:row r="84">
      <x:c r="A84" s="284"/>
      <x:c r="B84" s="284"/>
      <x:c r="C84" s="284"/>
      <x:c r="D84" s="284"/>
      <x:c r="E84" s="284"/>
      <x:c r="F84" s="284"/>
    </x:row>
    <x:row r="85">
      <x:c r="A85" s="284"/>
      <x:c r="B85" s="284"/>
      <x:c r="C85" s="284"/>
      <x:c r="D85" s="284"/>
      <x:c r="E85" s="284"/>
      <x:c r="F85" s="284"/>
    </x:row>
    <x:row r="86">
      <x:c r="A86" s="284"/>
      <x:c r="B86" s="284"/>
      <x:c r="C86" s="284"/>
      <x:c r="D86" s="284"/>
      <x:c r="E86" s="284"/>
      <x:c r="F86" s="284"/>
    </x:row>
    <x:row r="87">
      <x:c r="A87" s="284"/>
      <x:c r="B87" s="284"/>
      <x:c r="C87" s="284"/>
      <x:c r="D87" s="284"/>
      <x:c r="E87" s="284"/>
      <x:c r="F87" s="284"/>
    </x:row>
    <x:row r="88">
      <x:c r="A88" s="284"/>
      <x:c r="B88" s="284"/>
      <x:c r="C88" s="284"/>
      <x:c r="D88" s="284"/>
      <x:c r="E88" s="284"/>
      <x:c r="F88" s="284"/>
    </x:row>
    <x:row r="89">
      <x:c r="A89" s="284"/>
      <x:c r="B89" s="284"/>
      <x:c r="C89" s="284"/>
      <x:c r="D89" s="284"/>
      <x:c r="E89" s="284"/>
      <x:c r="F89" s="284"/>
    </x:row>
    <x:row r="90">
      <x:c r="A90" s="284"/>
      <x:c r="B90" s="284"/>
      <x:c r="C90" s="284"/>
      <x:c r="D90" s="284"/>
      <x:c r="E90" s="284"/>
      <x:c r="F90" s="284"/>
    </x:row>
    <x:row r="91">
      <x:c r="A91" s="284"/>
      <x:c r="B91" s="284"/>
      <x:c r="C91" s="284"/>
      <x:c r="D91" s="284"/>
      <x:c r="E91" s="284"/>
      <x:c r="F91" s="284"/>
    </x:row>
    <x:row r="92">
      <x:c r="A92" s="284"/>
      <x:c r="B92" s="284"/>
      <x:c r="C92" s="284"/>
      <x:c r="D92" s="284"/>
      <x:c r="E92" s="284"/>
      <x:c r="F92" s="284"/>
    </x:row>
    <x:row r="93">
      <x:c r="A93" s="284"/>
      <x:c r="B93" s="284"/>
      <x:c r="C93" s="284"/>
      <x:c r="D93" s="284"/>
      <x:c r="E93" s="284"/>
      <x:c r="F93" s="284"/>
    </x:row>
    <x:row r="94">
      <x:c r="A94" s="284"/>
      <x:c r="B94" s="284"/>
      <x:c r="C94" s="284"/>
      <x:c r="D94" s="284"/>
      <x:c r="E94" s="284"/>
      <x:c r="F94" s="284"/>
    </x:row>
    <x:row r="95">
      <x:c r="A95" s="284"/>
      <x:c r="B95" s="284"/>
      <x:c r="C95" s="284"/>
      <x:c r="D95" s="284"/>
      <x:c r="E95" s="284"/>
      <x:c r="F95" s="284"/>
    </x:row>
    <x:row r="96">
      <x:c r="A96" s="284"/>
      <x:c r="B96" s="284"/>
      <x:c r="C96" s="284"/>
      <x:c r="D96" s="284"/>
      <x:c r="E96" s="284"/>
      <x:c r="F96" s="284"/>
    </x:row>
    <x:row r="97">
      <x:c r="A97" s="284"/>
      <x:c r="B97" s="284"/>
      <x:c r="C97" s="284"/>
      <x:c r="D97" s="284"/>
      <x:c r="E97" s="284"/>
      <x:c r="F97" s="284"/>
    </x:row>
    <x:row r="98">
      <x:c r="A98" s="284"/>
      <x:c r="B98" s="284"/>
      <x:c r="C98" s="284"/>
      <x:c r="D98" s="284"/>
      <x:c r="E98" s="284"/>
      <x:c r="F98" s="284"/>
    </x:row>
    <x:row r="99">
      <x:c r="A99" s="284"/>
      <x:c r="B99" s="284"/>
      <x:c r="C99" s="284"/>
      <x:c r="D99" s="284"/>
      <x:c r="E99" s="284"/>
      <x:c r="F99" s="284"/>
    </x:row>
    <x:row r="100">
      <x:c r="A100" s="284"/>
      <x:c r="B100" s="284"/>
      <x:c r="C100" s="284"/>
      <x:c r="D100" s="284"/>
      <x:c r="E100" s="284"/>
      <x:c r="F100" s="284"/>
    </x:row>
    <x:row r="101">
      <x:c r="A101" s="284"/>
      <x:c r="B101" s="284"/>
      <x:c r="C101" s="284"/>
      <x:c r="D101" s="284"/>
      <x:c r="E101" s="284"/>
      <x:c r="F101" s="284"/>
    </x:row>
    <x:row r="102">
      <x:c r="A102" s="284"/>
      <x:c r="B102" s="284"/>
      <x:c r="C102" s="284"/>
      <x:c r="D102" s="284"/>
      <x:c r="E102" s="284"/>
      <x:c r="F102" s="284"/>
    </x:row>
    <x:row r="103">
      <x:c r="A103" s="284"/>
      <x:c r="B103" s="284"/>
      <x:c r="C103" s="284"/>
      <x:c r="D103" s="284"/>
      <x:c r="E103" s="284"/>
      <x:c r="F103" s="284"/>
    </x:row>
    <x:row r="104">
      <x:c r="A104" s="284"/>
      <x:c r="B104" s="284"/>
      <x:c r="C104" s="284"/>
      <x:c r="D104" s="284"/>
      <x:c r="E104" s="284"/>
      <x:c r="F104" s="284"/>
    </x:row>
    <x:row r="105">
      <x:c r="A105" s="284"/>
      <x:c r="B105" s="284"/>
      <x:c r="C105" s="284"/>
      <x:c r="D105" s="284"/>
      <x:c r="E105" s="284"/>
      <x:c r="F105" s="284"/>
    </x:row>
    <x:row r="106">
      <x:c r="A106" s="284"/>
      <x:c r="B106" s="284"/>
      <x:c r="C106" s="284"/>
      <x:c r="D106" s="284"/>
      <x:c r="E106" s="284"/>
      <x:c r="F106" s="284"/>
    </x:row>
    <x:row r="107">
      <x:c r="A107" s="284"/>
      <x:c r="B107" s="284"/>
      <x:c r="C107" s="284"/>
      <x:c r="D107" s="284"/>
      <x:c r="E107" s="284"/>
      <x:c r="F107" s="284"/>
    </x:row>
    <x:row r="108">
      <x:c r="A108" s="284"/>
      <x:c r="B108" s="284"/>
      <x:c r="C108" s="284"/>
      <x:c r="D108" s="284"/>
      <x:c r="E108" s="284"/>
      <x:c r="F108" s="284"/>
    </x:row>
    <x:row r="109">
      <x:c r="A109" s="284"/>
      <x:c r="B109" s="284"/>
      <x:c r="C109" s="284"/>
      <x:c r="D109" s="284"/>
      <x:c r="E109" s="284"/>
      <x:c r="F109" s="284"/>
    </x:row>
    <x:row r="110">
      <x:c r="A110" s="284"/>
      <x:c r="B110" s="284"/>
      <x:c r="C110" s="284"/>
      <x:c r="D110" s="284"/>
      <x:c r="E110" s="284"/>
      <x:c r="F110" s="284"/>
    </x:row>
    <x:row r="111">
      <x:c r="A111" s="284"/>
      <x:c r="B111" s="284"/>
      <x:c r="C111" s="284"/>
      <x:c r="D111" s="284"/>
      <x:c r="E111" s="284"/>
      <x:c r="F111" s="284"/>
    </x:row>
    <x:row r="112">
      <x:c r="A112" s="284"/>
      <x:c r="B112" s="284"/>
      <x:c r="C112" s="284"/>
      <x:c r="D112" s="284"/>
      <x:c r="E112" s="284"/>
      <x:c r="F112" s="284"/>
    </x:row>
    <x:row r="113">
      <x:c r="A113" s="284"/>
      <x:c r="B113" s="284"/>
      <x:c r="C113" s="284"/>
      <x:c r="D113" s="284"/>
      <x:c r="E113" s="284"/>
      <x:c r="F113" s="284"/>
    </x:row>
    <x:row r="114">
      <x:c r="A114" s="284"/>
      <x:c r="B114" s="284"/>
      <x:c r="C114" s="284"/>
      <x:c r="D114" s="284"/>
      <x:c r="E114" s="284"/>
      <x:c r="F114" s="284"/>
    </x:row>
    <x:row r="115">
      <x:c r="A115" s="284"/>
      <x:c r="B115" s="284"/>
      <x:c r="C115" s="284"/>
      <x:c r="D115" s="284"/>
      <x:c r="E115" s="284"/>
      <x:c r="F115" s="284"/>
    </x:row>
    <x:row r="116">
      <x:c r="A116" s="284"/>
      <x:c r="B116" s="284"/>
      <x:c r="C116" s="284"/>
      <x:c r="D116" s="284"/>
      <x:c r="E116" s="284"/>
      <x:c r="F116" s="284"/>
    </x:row>
    <x:row r="117">
      <x:c r="A117" s="284"/>
      <x:c r="B117" s="284"/>
      <x:c r="C117" s="284"/>
      <x:c r="D117" s="284"/>
      <x:c r="E117" s="284"/>
      <x:c r="F117" s="284"/>
    </x:row>
    <x:row r="118">
      <x:c r="A118" s="284"/>
      <x:c r="B118" s="284"/>
      <x:c r="C118" s="284"/>
      <x:c r="D118" s="284"/>
      <x:c r="E118" s="284"/>
      <x:c r="F118" s="284"/>
    </x:row>
    <x:row r="119">
      <x:c r="A119" s="284"/>
      <x:c r="B119" s="284"/>
      <x:c r="C119" s="284"/>
      <x:c r="D119" s="284"/>
      <x:c r="E119" s="284"/>
      <x:c r="F119" s="284"/>
    </x:row>
    <x:row r="120">
      <x:c r="A120" s="284"/>
      <x:c r="B120" s="284"/>
      <x:c r="C120" s="284"/>
      <x:c r="D120" s="284"/>
      <x:c r="E120" s="284"/>
      <x:c r="F120" s="284"/>
    </x:row>
    <x:row r="121">
      <x:c r="A121" s="284"/>
      <x:c r="B121" s="284"/>
      <x:c r="C121" s="284"/>
      <x:c r="D121" s="284"/>
      <x:c r="E121" s="284"/>
      <x:c r="F121" s="284"/>
    </x:row>
    <x:row r="122">
      <x:c r="A122" s="284"/>
      <x:c r="B122" s="284"/>
      <x:c r="C122" s="284"/>
      <x:c r="D122" s="284"/>
      <x:c r="E122" s="284"/>
      <x:c r="F122" s="284"/>
    </x:row>
    <x:row r="123">
      <x:c r="A123" s="284"/>
      <x:c r="B123" s="284"/>
      <x:c r="C123" s="284"/>
      <x:c r="D123" s="284"/>
      <x:c r="E123" s="284"/>
      <x:c r="F123" s="284"/>
    </x:row>
    <x:row r="124">
      <x:c r="A124" s="284"/>
      <x:c r="B124" s="284"/>
      <x:c r="C124" s="284"/>
      <x:c r="D124" s="284"/>
      <x:c r="E124" s="284"/>
      <x:c r="F124" s="284"/>
    </x:row>
    <x:row r="125">
      <x:c r="A125" s="284"/>
      <x:c r="B125" s="284"/>
      <x:c r="C125" s="284"/>
      <x:c r="D125" s="284"/>
      <x:c r="E125" s="284"/>
      <x:c r="F125" s="284"/>
    </x:row>
    <x:row r="126">
      <x:c r="A126" s="284"/>
      <x:c r="B126" s="284"/>
      <x:c r="C126" s="284"/>
      <x:c r="D126" s="284"/>
      <x:c r="E126" s="284"/>
      <x:c r="F126" s="284"/>
    </x:row>
    <x:row r="127">
      <x:c r="A127" s="284"/>
      <x:c r="B127" s="284"/>
      <x:c r="C127" s="284"/>
      <x:c r="D127" s="284"/>
      <x:c r="E127" s="284"/>
      <x:c r="F127" s="284"/>
    </x:row>
    <x:row r="128">
      <x:c r="A128" s="284"/>
      <x:c r="B128" s="284"/>
      <x:c r="C128" s="284"/>
      <x:c r="D128" s="284"/>
      <x:c r="E128" s="284"/>
      <x:c r="F128" s="284"/>
    </x:row>
    <x:row r="129">
      <x:c r="A129" s="284"/>
      <x:c r="B129" s="284"/>
      <x:c r="C129" s="284"/>
      <x:c r="D129" s="284"/>
      <x:c r="E129" s="284"/>
      <x:c r="F129" s="284"/>
    </x:row>
    <x:row r="130">
      <x:c r="A130" s="284"/>
      <x:c r="B130" s="284"/>
      <x:c r="C130" s="284"/>
      <x:c r="D130" s="284"/>
      <x:c r="E130" s="284"/>
      <x:c r="F130" s="284"/>
    </x:row>
    <x:row r="131">
      <x:c r="A131" s="284"/>
      <x:c r="B131" s="284"/>
      <x:c r="C131" s="284"/>
      <x:c r="D131" s="284"/>
      <x:c r="E131" s="284"/>
      <x:c r="F131" s="284"/>
    </x:row>
    <x:row r="132">
      <x:c r="A132" s="284"/>
      <x:c r="B132" s="284"/>
      <x:c r="C132" s="284"/>
      <x:c r="D132" s="284"/>
      <x:c r="E132" s="284"/>
      <x:c r="F132" s="284"/>
    </x:row>
    <x:row r="133">
      <x:c r="A133" s="284"/>
      <x:c r="B133" s="284"/>
      <x:c r="C133" s="284"/>
      <x:c r="D133" s="284"/>
      <x:c r="E133" s="284"/>
      <x:c r="F133" s="284"/>
    </x:row>
    <x:row r="134">
      <x:c r="A134" s="284"/>
      <x:c r="B134" s="284"/>
      <x:c r="C134" s="284"/>
      <x:c r="D134" s="284"/>
      <x:c r="E134" s="284"/>
      <x:c r="F134" s="284"/>
    </x:row>
    <x:row r="135">
      <x:c r="A135" s="284"/>
      <x:c r="B135" s="284"/>
      <x:c r="C135" s="284"/>
      <x:c r="D135" s="284"/>
      <x:c r="E135" s="284"/>
      <x:c r="F135" s="284"/>
    </x:row>
    <x:row r="136">
      <x:c r="A136" s="284"/>
      <x:c r="B136" s="284"/>
      <x:c r="C136" s="284"/>
      <x:c r="D136" s="284"/>
      <x:c r="E136" s="284"/>
      <x:c r="F136" s="284"/>
    </x:row>
    <x:row r="137">
      <x:c r="A137" s="284"/>
      <x:c r="B137" s="284"/>
      <x:c r="C137" s="284"/>
      <x:c r="D137" s="284"/>
      <x:c r="E137" s="284"/>
      <x:c r="F137" s="284"/>
    </x:row>
    <x:row r="138">
      <x:c r="A138" s="284"/>
      <x:c r="B138" s="284"/>
      <x:c r="C138" s="284"/>
      <x:c r="D138" s="284"/>
      <x:c r="E138" s="284"/>
      <x:c r="F138" s="284"/>
    </x:row>
    <x:row r="139">
      <x:c r="A139" s="284"/>
      <x:c r="B139" s="284"/>
      <x:c r="C139" s="284"/>
      <x:c r="D139" s="284"/>
      <x:c r="E139" s="284"/>
      <x:c r="F139" s="284"/>
    </x:row>
    <x:row r="140">
      <x:c r="A140" s="284"/>
      <x:c r="B140" s="284"/>
      <x:c r="C140" s="284"/>
      <x:c r="D140" s="284"/>
      <x:c r="E140" s="284"/>
      <x:c r="F140" s="284"/>
    </x:row>
    <x:row r="141">
      <x:c r="A141" s="284"/>
      <x:c r="B141" s="284"/>
      <x:c r="C141" s="284"/>
      <x:c r="D141" s="284"/>
      <x:c r="E141" s="284"/>
      <x:c r="F141" s="284"/>
    </x:row>
    <x:row r="142">
      <x:c r="A142" s="284"/>
      <x:c r="B142" s="284"/>
      <x:c r="C142" s="284"/>
      <x:c r="D142" s="284"/>
      <x:c r="E142" s="284"/>
      <x:c r="F142" s="284"/>
    </x:row>
    <x:row r="143">
      <x:c r="A143" s="284"/>
      <x:c r="B143" s="284"/>
      <x:c r="C143" s="284"/>
      <x:c r="D143" s="284"/>
      <x:c r="E143" s="284"/>
      <x:c r="F143" s="284"/>
    </x:row>
    <x:row r="144">
      <x:c r="A144" s="284"/>
      <x:c r="B144" s="284"/>
      <x:c r="C144" s="284"/>
      <x:c r="D144" s="284"/>
      <x:c r="E144" s="284"/>
      <x:c r="F144" s="284"/>
    </x:row>
    <x:row r="145">
      <x:c r="A145" s="284"/>
      <x:c r="B145" s="284"/>
      <x:c r="C145" s="284"/>
      <x:c r="D145" s="284"/>
      <x:c r="E145" s="284"/>
      <x:c r="F145" s="284"/>
    </x:row>
    <x:row r="146">
      <x:c r="A146" s="284"/>
      <x:c r="B146" s="284"/>
      <x:c r="C146" s="284"/>
      <x:c r="D146" s="284"/>
      <x:c r="E146" s="284"/>
      <x:c r="F146" s="284"/>
    </x:row>
    <x:row r="147">
      <x:c r="A147" s="284"/>
      <x:c r="B147" s="284"/>
      <x:c r="C147" s="284"/>
      <x:c r="D147" s="284"/>
      <x:c r="E147" s="284"/>
      <x:c r="F147" s="284"/>
    </x:row>
    <x:row r="148">
      <x:c r="A148" s="284"/>
      <x:c r="B148" s="284"/>
      <x:c r="C148" s="284"/>
      <x:c r="D148" s="284"/>
      <x:c r="E148" s="284"/>
      <x:c r="F148" s="284"/>
    </x:row>
    <x:row r="149">
      <x:c r="A149" s="284"/>
      <x:c r="B149" s="284"/>
      <x:c r="C149" s="284"/>
      <x:c r="D149" s="284"/>
      <x:c r="E149" s="284"/>
      <x:c r="F149" s="284"/>
    </x:row>
    <x:row r="150">
      <x:c r="A150" s="284"/>
      <x:c r="B150" s="284"/>
      <x:c r="C150" s="284"/>
      <x:c r="D150" s="284"/>
      <x:c r="E150" s="284"/>
      <x:c r="F150" s="284"/>
    </x:row>
    <x:row r="151">
      <x:c r="A151" s="284"/>
      <x:c r="B151" s="284"/>
      <x:c r="C151" s="284"/>
      <x:c r="D151" s="284"/>
      <x:c r="E151" s="284"/>
      <x:c r="F151" s="284"/>
    </x:row>
    <x:row r="152">
      <x:c r="A152" s="284"/>
      <x:c r="B152" s="284"/>
      <x:c r="C152" s="284"/>
      <x:c r="D152" s="284"/>
      <x:c r="E152" s="284"/>
      <x:c r="F152" s="284"/>
    </x:row>
    <x:row r="153">
      <x:c r="A153" s="284"/>
      <x:c r="B153" s="284"/>
      <x:c r="C153" s="284"/>
      <x:c r="D153" s="284"/>
      <x:c r="E153" s="284"/>
      <x:c r="F153" s="284"/>
    </x:row>
    <x:row r="154">
      <x:c r="A154" s="284"/>
      <x:c r="B154" s="284"/>
      <x:c r="C154" s="284"/>
      <x:c r="D154" s="284"/>
      <x:c r="E154" s="284"/>
      <x:c r="F154" s="284"/>
    </x:row>
    <x:row r="155">
      <x:c r="A155" s="284"/>
      <x:c r="B155" s="284"/>
      <x:c r="C155" s="284"/>
      <x:c r="D155" s="284"/>
      <x:c r="E155" s="284"/>
      <x:c r="F155" s="284"/>
    </x:row>
    <x:row r="156">
      <x:c r="A156" s="284"/>
      <x:c r="B156" s="284"/>
      <x:c r="C156" s="284"/>
      <x:c r="D156" s="284"/>
      <x:c r="E156" s="284"/>
      <x:c r="F156" s="284"/>
    </x:row>
    <x:row r="157">
      <x:c r="A157" s="284"/>
      <x:c r="B157" s="284"/>
      <x:c r="C157" s="284"/>
      <x:c r="D157" s="284"/>
      <x:c r="E157" s="284"/>
      <x:c r="F157" s="284"/>
    </x:row>
    <x:row r="158">
      <x:c r="A158" s="284"/>
      <x:c r="B158" s="284"/>
      <x:c r="C158" s="284"/>
      <x:c r="D158" s="284"/>
      <x:c r="E158" s="284"/>
      <x:c r="F158" s="284"/>
    </x:row>
    <x:row r="159">
      <x:c r="A159" s="284"/>
      <x:c r="B159" s="284"/>
      <x:c r="C159" s="284"/>
      <x:c r="D159" s="284"/>
      <x:c r="E159" s="284"/>
      <x:c r="F159" s="284"/>
    </x:row>
    <x:row r="160">
      <x:c r="A160" s="284"/>
      <x:c r="B160" s="284"/>
      <x:c r="C160" s="284"/>
      <x:c r="D160" s="284"/>
      <x:c r="E160" s="284"/>
      <x:c r="F160" s="284"/>
    </x:row>
    <x:row r="161">
      <x:c r="A161" s="284"/>
      <x:c r="B161" s="284"/>
      <x:c r="C161" s="284"/>
      <x:c r="D161" s="284"/>
      <x:c r="E161" s="284"/>
      <x:c r="F161" s="284"/>
    </x:row>
    <x:row r="162">
      <x:c r="A162" s="284"/>
      <x:c r="B162" s="284"/>
      <x:c r="C162" s="284"/>
      <x:c r="D162" s="284"/>
      <x:c r="E162" s="284"/>
      <x:c r="F162" s="284"/>
    </x:row>
    <x:row r="163">
      <x:c r="A163" s="284"/>
      <x:c r="B163" s="284"/>
      <x:c r="C163" s="284"/>
      <x:c r="D163" s="284"/>
      <x:c r="E163" s="284"/>
      <x:c r="F163" s="284"/>
    </x:row>
    <x:row r="164">
      <x:c r="A164" s="284"/>
      <x:c r="B164" s="284"/>
      <x:c r="C164" s="284"/>
      <x:c r="D164" s="284"/>
      <x:c r="E164" s="284"/>
      <x:c r="F164" s="284"/>
    </x:row>
    <x:row r="165">
      <x:c r="A165" s="284"/>
      <x:c r="B165" s="284"/>
      <x:c r="C165" s="284"/>
      <x:c r="D165" s="284"/>
      <x:c r="E165" s="284"/>
      <x:c r="F165" s="284"/>
    </x:row>
    <x:row r="166">
      <x:c r="A166" s="284"/>
      <x:c r="B166" s="284"/>
      <x:c r="C166" s="284"/>
      <x:c r="D166" s="284"/>
      <x:c r="E166" s="284"/>
      <x:c r="F166" s="284"/>
    </x:row>
    <x:row r="167">
      <x:c r="A167" s="284"/>
      <x:c r="B167" s="284"/>
      <x:c r="C167" s="284"/>
      <x:c r="D167" s="284"/>
      <x:c r="E167" s="284"/>
      <x:c r="F167" s="284"/>
    </x:row>
    <x:row r="168">
      <x:c r="A168" s="284"/>
      <x:c r="B168" s="284"/>
      <x:c r="C168" s="284"/>
      <x:c r="D168" s="284"/>
      <x:c r="E168" s="284"/>
      <x:c r="F168" s="284"/>
    </x:row>
    <x:row r="169">
      <x:c r="A169" s="284"/>
      <x:c r="B169" s="284"/>
      <x:c r="C169" s="284"/>
      <x:c r="D169" s="284"/>
      <x:c r="E169" s="284"/>
      <x:c r="F169" s="284"/>
    </x:row>
    <x:row r="170">
      <x:c r="A170" s="284"/>
      <x:c r="B170" s="284"/>
      <x:c r="C170" s="284"/>
      <x:c r="D170" s="284"/>
      <x:c r="E170" s="284"/>
      <x:c r="F170" s="284"/>
    </x:row>
    <x:row r="171">
      <x:c r="A171" s="284"/>
      <x:c r="B171" s="284"/>
      <x:c r="C171" s="284"/>
      <x:c r="D171" s="284"/>
      <x:c r="E171" s="284"/>
      <x:c r="F171" s="284"/>
    </x:row>
    <x:row r="172">
      <x:c r="A172" s="284"/>
      <x:c r="B172" s="284"/>
      <x:c r="C172" s="284"/>
      <x:c r="D172" s="284"/>
      <x:c r="E172" s="284"/>
      <x:c r="F172" s="284"/>
    </x:row>
    <x:row r="173">
      <x:c r="A173" s="284"/>
      <x:c r="B173" s="284"/>
      <x:c r="C173" s="284"/>
      <x:c r="D173" s="284"/>
      <x:c r="E173" s="284"/>
      <x:c r="F173" s="284"/>
    </x:row>
    <x:row r="174">
      <x:c r="A174" s="284"/>
      <x:c r="B174" s="284"/>
      <x:c r="C174" s="284"/>
      <x:c r="D174" s="284"/>
      <x:c r="E174" s="284"/>
      <x:c r="F174" s="284"/>
    </x:row>
    <x:row r="175">
      <x:c r="A175" s="284"/>
      <x:c r="B175" s="284"/>
      <x:c r="C175" s="284"/>
      <x:c r="D175" s="284"/>
      <x:c r="E175" s="284"/>
      <x:c r="F175" s="284"/>
    </x:row>
    <x:row r="176">
      <x:c r="A176" s="284"/>
      <x:c r="B176" s="284"/>
      <x:c r="C176" s="284"/>
      <x:c r="D176" s="284"/>
      <x:c r="E176" s="284"/>
      <x:c r="F176" s="284"/>
    </x:row>
    <x:row r="177">
      <x:c r="A177" s="284"/>
      <x:c r="B177" s="284"/>
      <x:c r="C177" s="284"/>
      <x:c r="D177" s="284"/>
      <x:c r="E177" s="284"/>
      <x:c r="F177" s="284"/>
    </x:row>
    <x:row r="178">
      <x:c r="A178" s="284"/>
      <x:c r="B178" s="284"/>
      <x:c r="C178" s="284"/>
      <x:c r="D178" s="284"/>
      <x:c r="E178" s="284"/>
      <x:c r="F178" s="284"/>
    </x:row>
    <x:row r="179">
      <x:c r="A179" s="284"/>
      <x:c r="B179" s="284"/>
      <x:c r="C179" s="284"/>
      <x:c r="D179" s="284"/>
      <x:c r="E179" s="284"/>
      <x:c r="F179" s="284"/>
    </x:row>
    <x:row r="180">
      <x:c r="A180" s="284"/>
      <x:c r="B180" s="284"/>
      <x:c r="C180" s="284"/>
      <x:c r="D180" s="284"/>
      <x:c r="E180" s="284"/>
      <x:c r="F180" s="284"/>
    </x:row>
    <x:row r="181">
      <x:c r="A181" s="284"/>
      <x:c r="B181" s="284"/>
      <x:c r="C181" s="284"/>
      <x:c r="D181" s="284"/>
      <x:c r="E181" s="284"/>
      <x:c r="F181" s="284"/>
    </x:row>
    <x:row r="182">
      <x:c r="A182" s="284"/>
      <x:c r="B182" s="284"/>
      <x:c r="C182" s="284"/>
      <x:c r="D182" s="284"/>
      <x:c r="E182" s="284"/>
      <x:c r="F182" s="284"/>
    </x:row>
    <x:row r="183">
      <x:c r="A183" s="284"/>
      <x:c r="B183" s="284"/>
      <x:c r="C183" s="284"/>
      <x:c r="D183" s="284"/>
      <x:c r="E183" s="284"/>
      <x:c r="F183" s="284"/>
    </x:row>
    <x:row r="184">
      <x:c r="A184" s="284"/>
      <x:c r="B184" s="284"/>
      <x:c r="C184" s="284"/>
      <x:c r="D184" s="284"/>
      <x:c r="E184" s="284"/>
      <x:c r="F184" s="284"/>
    </x:row>
    <x:row r="185">
      <x:c r="A185" s="284"/>
      <x:c r="B185" s="284"/>
      <x:c r="C185" s="284"/>
      <x:c r="D185" s="284"/>
      <x:c r="E185" s="284"/>
      <x:c r="F185" s="284"/>
    </x:row>
    <x:row r="186">
      <x:c r="A186" s="284"/>
      <x:c r="B186" s="284"/>
      <x:c r="C186" s="284"/>
      <x:c r="D186" s="284"/>
      <x:c r="E186" s="284"/>
      <x:c r="F186" s="284"/>
    </x:row>
    <x:row r="187">
      <x:c r="A187" s="284"/>
      <x:c r="B187" s="284"/>
      <x:c r="C187" s="284"/>
      <x:c r="D187" s="284"/>
      <x:c r="E187" s="284"/>
      <x:c r="F187" s="284"/>
    </x:row>
    <x:row r="188">
      <x:c r="A188" s="284"/>
      <x:c r="B188" s="284"/>
      <x:c r="C188" s="284"/>
      <x:c r="D188" s="284"/>
      <x:c r="E188" s="284"/>
      <x:c r="F188" s="284"/>
    </x:row>
    <x:row r="189">
      <x:c r="A189" s="284"/>
      <x:c r="B189" s="284"/>
      <x:c r="C189" s="284"/>
      <x:c r="D189" s="284"/>
      <x:c r="E189" s="284"/>
      <x:c r="F189" s="284"/>
    </x:row>
    <x:row r="190">
      <x:c r="A190" s="284"/>
      <x:c r="B190" s="284"/>
      <x:c r="C190" s="284"/>
      <x:c r="D190" s="284"/>
      <x:c r="E190" s="284"/>
      <x:c r="F190" s="284"/>
    </x:row>
    <x:row r="191">
      <x:c r="A191" s="284"/>
      <x:c r="B191" s="284"/>
      <x:c r="C191" s="284"/>
      <x:c r="D191" s="284"/>
      <x:c r="E191" s="284"/>
      <x:c r="F191" s="284"/>
    </x:row>
    <x:row r="192">
      <x:c r="A192" s="284"/>
      <x:c r="B192" s="284"/>
      <x:c r="C192" s="284"/>
      <x:c r="D192" s="284"/>
      <x:c r="E192" s="284"/>
      <x:c r="F192" s="284"/>
    </x:row>
    <x:row r="193">
      <x:c r="A193" s="284"/>
      <x:c r="B193" s="284"/>
      <x:c r="C193" s="284"/>
      <x:c r="D193" s="284"/>
      <x:c r="E193" s="284"/>
      <x:c r="F193" s="284"/>
    </x:row>
    <x:row r="194">
      <x:c r="A194" s="284"/>
      <x:c r="B194" s="284"/>
      <x:c r="C194" s="284"/>
      <x:c r="D194" s="284"/>
      <x:c r="E194" s="284"/>
      <x:c r="F194" s="284"/>
    </x:row>
    <x:row r="195">
      <x:c r="A195" s="284"/>
      <x:c r="B195" s="284"/>
      <x:c r="C195" s="284"/>
      <x:c r="D195" s="284"/>
      <x:c r="E195" s="284"/>
      <x:c r="F195" s="284"/>
    </x:row>
    <x:row r="196">
      <x:c r="A196" s="284"/>
      <x:c r="B196" s="284"/>
      <x:c r="C196" s="284"/>
      <x:c r="D196" s="284"/>
      <x:c r="E196" s="284"/>
      <x:c r="F196" s="284"/>
    </x:row>
    <x:row r="197">
      <x:c r="A197" s="284"/>
      <x:c r="B197" s="284"/>
      <x:c r="C197" s="284"/>
      <x:c r="D197" s="284"/>
      <x:c r="E197" s="284"/>
      <x:c r="F197" s="284"/>
    </x:row>
    <x:row r="198">
      <x:c r="A198" s="284"/>
      <x:c r="B198" s="284"/>
      <x:c r="C198" s="284"/>
      <x:c r="D198" s="284"/>
      <x:c r="E198" s="284"/>
      <x:c r="F198" s="284"/>
    </x:row>
    <x:row r="199">
      <x:c r="A199" s="284"/>
      <x:c r="B199" s="284"/>
      <x:c r="C199" s="284"/>
      <x:c r="D199" s="284"/>
      <x:c r="E199" s="284"/>
      <x:c r="F199" s="284"/>
    </x:row>
    <x:row r="200">
      <x:c r="A200" s="284"/>
      <x:c r="B200" s="284"/>
      <x:c r="C200" s="284"/>
      <x:c r="D200" s="284"/>
      <x:c r="E200" s="284"/>
      <x:c r="F200" s="284"/>
    </x:row>
    <x:row r="201">
      <x:c r="A201" s="284"/>
      <x:c r="B201" s="284"/>
      <x:c r="C201" s="284"/>
      <x:c r="D201" s="284"/>
      <x:c r="E201" s="284"/>
      <x:c r="F201" s="284"/>
    </x:row>
    <x:row r="202">
      <x:c r="A202" s="284"/>
      <x:c r="B202" s="284"/>
      <x:c r="C202" s="284"/>
      <x:c r="D202" s="284"/>
      <x:c r="E202" s="284"/>
      <x:c r="F202" s="284"/>
    </x:row>
    <x:row r="203">
      <x:c r="A203" s="284"/>
      <x:c r="B203" s="284"/>
      <x:c r="C203" s="284"/>
      <x:c r="D203" s="284"/>
      <x:c r="E203" s="284"/>
      <x:c r="F203" s="284"/>
    </x:row>
    <x:row r="204">
      <x:c r="A204" s="284"/>
      <x:c r="B204" s="284"/>
      <x:c r="C204" s="284"/>
      <x:c r="D204" s="284"/>
      <x:c r="E204" s="284"/>
      <x:c r="F204" s="284"/>
    </x:row>
    <x:row r="205">
      <x:c r="A205" s="284"/>
      <x:c r="B205" s="284"/>
      <x:c r="C205" s="284"/>
      <x:c r="D205" s="284"/>
      <x:c r="E205" s="284"/>
      <x:c r="F205" s="284"/>
    </x:row>
    <x:row r="206">
      <x:c r="A206" s="284"/>
      <x:c r="B206" s="284"/>
      <x:c r="C206" s="284"/>
      <x:c r="D206" s="284"/>
      <x:c r="E206" s="284"/>
      <x:c r="F206" s="284"/>
    </x:row>
    <x:row r="207">
      <x:c r="A207" s="284"/>
      <x:c r="B207" s="284"/>
      <x:c r="C207" s="284"/>
      <x:c r="D207" s="284"/>
      <x:c r="E207" s="284"/>
      <x:c r="F207" s="284"/>
    </x:row>
    <x:row r="208">
      <x:c r="A208" s="284"/>
      <x:c r="B208" s="284"/>
      <x:c r="C208" s="284"/>
      <x:c r="D208" s="284"/>
      <x:c r="E208" s="284"/>
      <x:c r="F208" s="284"/>
    </x:row>
    <x:row r="209">
      <x:c r="A209" s="284"/>
      <x:c r="B209" s="284"/>
      <x:c r="C209" s="284"/>
      <x:c r="D209" s="284"/>
      <x:c r="E209" s="284"/>
      <x:c r="F209" s="284"/>
    </x:row>
    <x:row r="210">
      <x:c r="A210" s="284"/>
      <x:c r="B210" s="284"/>
      <x:c r="C210" s="284"/>
      <x:c r="D210" s="284"/>
      <x:c r="E210" s="284"/>
      <x:c r="F210" s="284"/>
    </x:row>
    <x:row r="211">
      <x:c r="A211" s="284"/>
      <x:c r="B211" s="284"/>
      <x:c r="C211" s="284"/>
      <x:c r="D211" s="284"/>
      <x:c r="E211" s="284"/>
      <x:c r="F211" s="284"/>
    </x:row>
    <x:row r="212">
      <x:c r="A212" s="284"/>
      <x:c r="B212" s="284"/>
      <x:c r="C212" s="284"/>
      <x:c r="D212" s="284"/>
      <x:c r="E212" s="284"/>
      <x:c r="F212" s="284"/>
    </x:row>
    <x:row r="213">
      <x:c r="A213" s="284"/>
      <x:c r="B213" s="284"/>
      <x:c r="C213" s="284"/>
      <x:c r="D213" s="284"/>
      <x:c r="E213" s="284"/>
      <x:c r="F213" s="284"/>
    </x:row>
    <x:row r="214">
      <x:c r="A214" s="284"/>
      <x:c r="B214" s="284"/>
      <x:c r="C214" s="284"/>
      <x:c r="D214" s="284"/>
      <x:c r="E214" s="284"/>
      <x:c r="F214" s="284"/>
    </x:row>
    <x:row r="215">
      <x:c r="A215" s="284"/>
      <x:c r="B215" s="284"/>
      <x:c r="C215" s="284"/>
      <x:c r="D215" s="284"/>
      <x:c r="E215" s="284"/>
      <x:c r="F215" s="284"/>
    </x:row>
    <x:row r="216">
      <x:c r="A216" s="284"/>
      <x:c r="B216" s="284"/>
      <x:c r="C216" s="284"/>
      <x:c r="D216" s="284"/>
      <x:c r="E216" s="284"/>
      <x:c r="F216" s="284"/>
    </x:row>
    <x:row r="217">
      <x:c r="A217" s="284"/>
      <x:c r="B217" s="284"/>
      <x:c r="C217" s="284"/>
      <x:c r="D217" s="284"/>
      <x:c r="E217" s="284"/>
      <x:c r="F217" s="284"/>
    </x:row>
    <x:row r="218">
      <x:c r="A218" s="284"/>
      <x:c r="B218" s="284"/>
      <x:c r="C218" s="284"/>
      <x:c r="D218" s="284"/>
      <x:c r="E218" s="284"/>
      <x:c r="F218" s="284"/>
    </x:row>
    <x:row r="219">
      <x:c r="A219" s="284"/>
      <x:c r="B219" s="284"/>
      <x:c r="C219" s="284"/>
      <x:c r="D219" s="284"/>
      <x:c r="E219" s="284"/>
      <x:c r="F219" s="284"/>
    </x:row>
    <x:row r="220">
      <x:c r="A220" s="284"/>
      <x:c r="B220" s="284"/>
      <x:c r="C220" s="284"/>
      <x:c r="D220" s="284"/>
      <x:c r="E220" s="284"/>
      <x:c r="F220" s="284"/>
    </x:row>
    <x:row r="221">
      <x:c r="A221" s="284"/>
      <x:c r="B221" s="284"/>
      <x:c r="C221" s="284"/>
      <x:c r="D221" s="284"/>
      <x:c r="E221" s="284"/>
      <x:c r="F221" s="284"/>
    </x:row>
    <x:row r="222">
      <x:c r="A222" s="284"/>
      <x:c r="B222" s="284"/>
      <x:c r="C222" s="284"/>
      <x:c r="D222" s="284"/>
      <x:c r="E222" s="284"/>
      <x:c r="F222" s="284"/>
    </x:row>
    <x:row r="223">
      <x:c r="A223" s="284"/>
      <x:c r="B223" s="284"/>
      <x:c r="C223" s="284"/>
      <x:c r="D223" s="284"/>
      <x:c r="E223" s="284"/>
      <x:c r="F223" s="284"/>
    </x:row>
    <x:row r="224">
      <x:c r="A224" s="284"/>
      <x:c r="B224" s="284"/>
      <x:c r="C224" s="284"/>
      <x:c r="D224" s="284"/>
      <x:c r="E224" s="284"/>
      <x:c r="F224" s="284"/>
    </x:row>
    <x:row r="225">
      <x:c r="A225" s="284"/>
      <x:c r="B225" s="284"/>
      <x:c r="C225" s="284"/>
      <x:c r="D225" s="284"/>
      <x:c r="E225" s="284"/>
      <x:c r="F225" s="284"/>
    </x:row>
    <x:row r="226">
      <x:c r="A226" s="284"/>
      <x:c r="B226" s="284"/>
      <x:c r="C226" s="284"/>
      <x:c r="D226" s="284"/>
      <x:c r="E226" s="284"/>
      <x:c r="F226" s="284"/>
    </x:row>
    <x:row r="227">
      <x:c r="A227" s="284"/>
      <x:c r="B227" s="284"/>
      <x:c r="C227" s="284"/>
      <x:c r="D227" s="284"/>
      <x:c r="E227" s="284"/>
      <x:c r="F227" s="284"/>
    </x:row>
    <x:row r="228">
      <x:c r="A228" s="284"/>
      <x:c r="B228" s="284"/>
      <x:c r="C228" s="284"/>
      <x:c r="D228" s="284"/>
      <x:c r="E228" s="284"/>
      <x:c r="F228" s="284"/>
    </x:row>
    <x:row r="229">
      <x:c r="A229" s="284"/>
      <x:c r="B229" s="284"/>
      <x:c r="C229" s="284"/>
      <x:c r="D229" s="284"/>
      <x:c r="E229" s="284"/>
      <x:c r="F229" s="284"/>
    </x:row>
    <x:row r="230">
      <x:c r="A230" s="284"/>
      <x:c r="B230" s="284"/>
      <x:c r="C230" s="284"/>
      <x:c r="D230" s="284"/>
      <x:c r="E230" s="284"/>
      <x:c r="F230" s="284"/>
    </x:row>
    <x:row r="231">
      <x:c r="A231" s="284"/>
      <x:c r="B231" s="284"/>
      <x:c r="C231" s="284"/>
      <x:c r="D231" s="284"/>
      <x:c r="E231" s="284"/>
      <x:c r="F231" s="284"/>
    </x:row>
    <x:row r="232">
      <x:c r="A232" s="284"/>
      <x:c r="B232" s="284"/>
      <x:c r="C232" s="284"/>
      <x:c r="D232" s="284"/>
      <x:c r="E232" s="284"/>
      <x:c r="F232" s="284"/>
    </x:row>
    <x:row r="233">
      <x:c r="A233" s="284"/>
      <x:c r="B233" s="284"/>
      <x:c r="C233" s="284"/>
      <x:c r="D233" s="284"/>
      <x:c r="E233" s="284"/>
      <x:c r="F233" s="284"/>
    </x:row>
    <x:row r="234">
      <x:c r="A234" s="284"/>
      <x:c r="B234" s="284"/>
      <x:c r="C234" s="284"/>
      <x:c r="D234" s="284"/>
      <x:c r="E234" s="284"/>
      <x:c r="F234" s="284"/>
    </x:row>
    <x:row r="235">
      <x:c r="A235" s="284"/>
      <x:c r="B235" s="284"/>
      <x:c r="C235" s="284"/>
      <x:c r="D235" s="284"/>
      <x:c r="E235" s="284"/>
      <x:c r="F235" s="284"/>
    </x:row>
    <x:row r="236">
      <x:c r="A236" s="284"/>
      <x:c r="B236" s="284"/>
      <x:c r="C236" s="284"/>
      <x:c r="D236" s="284"/>
      <x:c r="E236" s="284"/>
      <x:c r="F236" s="284"/>
    </x:row>
    <x:row r="237">
      <x:c r="A237" s="284"/>
      <x:c r="B237" s="284"/>
      <x:c r="C237" s="284"/>
      <x:c r="D237" s="284"/>
      <x:c r="E237" s="284"/>
      <x:c r="F237" s="284"/>
    </x:row>
    <x:row r="238">
      <x:c r="A238" s="284"/>
      <x:c r="B238" s="284"/>
      <x:c r="C238" s="284"/>
      <x:c r="D238" s="284"/>
      <x:c r="E238" s="284"/>
      <x:c r="F238" s="284"/>
    </x:row>
    <x:row r="239">
      <x:c r="A239" s="284"/>
      <x:c r="B239" s="284"/>
      <x:c r="C239" s="284"/>
      <x:c r="D239" s="284"/>
      <x:c r="E239" s="284"/>
      <x:c r="F239" s="284"/>
    </x:row>
    <x:row r="240">
      <x:c r="A240" s="284"/>
      <x:c r="B240" s="284"/>
      <x:c r="C240" s="284"/>
      <x:c r="D240" s="284"/>
      <x:c r="E240" s="284"/>
      <x:c r="F240" s="284"/>
    </x:row>
    <x:row r="241">
      <x:c r="A241" s="284"/>
      <x:c r="B241" s="284"/>
      <x:c r="C241" s="284"/>
      <x:c r="D241" s="284"/>
      <x:c r="E241" s="284"/>
      <x:c r="F241" s="284"/>
    </x:row>
    <x:row r="242">
      <x:c r="A242" s="284"/>
      <x:c r="B242" s="284"/>
      <x:c r="C242" s="284"/>
      <x:c r="D242" s="284"/>
      <x:c r="E242" s="284"/>
      <x:c r="F242" s="284"/>
    </x:row>
    <x:row r="243">
      <x:c r="A243" s="284"/>
      <x:c r="B243" s="284"/>
      <x:c r="C243" s="284"/>
      <x:c r="D243" s="284"/>
      <x:c r="E243" s="284"/>
      <x:c r="F243" s="284"/>
    </x:row>
    <x:row r="244">
      <x:c r="A244" s="284"/>
      <x:c r="B244" s="284"/>
      <x:c r="C244" s="284"/>
      <x:c r="D244" s="284"/>
      <x:c r="E244" s="284"/>
      <x:c r="F244" s="284"/>
    </x:row>
    <x:row r="245">
      <x:c r="A245" s="284"/>
      <x:c r="B245" s="284"/>
      <x:c r="C245" s="284"/>
      <x:c r="D245" s="284"/>
      <x:c r="E245" s="284"/>
      <x:c r="F245" s="284"/>
    </x:row>
    <x:row r="246">
      <x:c r="A246" s="284"/>
      <x:c r="B246" s="284"/>
      <x:c r="C246" s="284"/>
      <x:c r="D246" s="284"/>
      <x:c r="E246" s="284"/>
      <x:c r="F246" s="284"/>
    </x:row>
    <x:row r="247">
      <x:c r="A247" s="284"/>
      <x:c r="B247" s="284"/>
      <x:c r="C247" s="284"/>
      <x:c r="D247" s="284"/>
      <x:c r="E247" s="284"/>
      <x:c r="F247" s="284"/>
    </x:row>
    <x:row r="248">
      <x:c r="A248" s="284"/>
      <x:c r="B248" s="284"/>
      <x:c r="C248" s="284"/>
      <x:c r="D248" s="284"/>
      <x:c r="E248" s="284"/>
      <x:c r="F248" s="284"/>
    </x:row>
    <x:row r="249">
      <x:c r="A249" s="284"/>
      <x:c r="B249" s="284"/>
      <x:c r="C249" s="284"/>
      <x:c r="D249" s="284"/>
      <x:c r="E249" s="284"/>
      <x:c r="F249" s="284"/>
    </x:row>
    <x:row r="250">
      <x:c r="A250" s="284"/>
      <x:c r="B250" s="284"/>
      <x:c r="C250" s="284"/>
      <x:c r="D250" s="284"/>
      <x:c r="E250" s="284"/>
      <x:c r="F250" s="284"/>
    </x:row>
    <x:row r="251">
      <x:c r="A251" s="284"/>
      <x:c r="B251" s="284"/>
      <x:c r="C251" s="284"/>
      <x:c r="D251" s="284"/>
      <x:c r="E251" s="284"/>
      <x:c r="F251" s="284"/>
    </x:row>
    <x:row r="252">
      <x:c r="A252" s="284"/>
      <x:c r="B252" s="284"/>
      <x:c r="C252" s="284"/>
      <x:c r="D252" s="284"/>
      <x:c r="E252" s="284"/>
      <x:c r="F252" s="284"/>
    </x:row>
    <x:row r="253">
      <x:c r="A253" s="284"/>
      <x:c r="B253" s="284"/>
      <x:c r="C253" s="284"/>
      <x:c r="D253" s="284"/>
      <x:c r="E253" s="284"/>
      <x:c r="F253" s="284"/>
    </x:row>
    <x:row r="254">
      <x:c r="A254" s="284"/>
      <x:c r="B254" s="284"/>
      <x:c r="C254" s="284"/>
      <x:c r="D254" s="284"/>
      <x:c r="E254" s="284"/>
      <x:c r="F254" s="284"/>
    </x:row>
    <x:row r="255">
      <x:c r="A255" s="284"/>
      <x:c r="B255" s="284"/>
      <x:c r="C255" s="284"/>
      <x:c r="D255" s="284"/>
      <x:c r="E255" s="284"/>
      <x:c r="F255" s="284"/>
    </x:row>
    <x:row r="256">
      <x:c r="A256" s="284"/>
      <x:c r="B256" s="284"/>
      <x:c r="C256" s="284"/>
      <x:c r="D256" s="284"/>
      <x:c r="E256" s="284"/>
      <x:c r="F256" s="284"/>
    </x:row>
    <x:row r="257">
      <x:c r="A257" s="284"/>
      <x:c r="B257" s="284"/>
      <x:c r="C257" s="284"/>
      <x:c r="D257" s="284"/>
      <x:c r="E257" s="284"/>
      <x:c r="F257" s="284"/>
    </x:row>
    <x:row r="258">
      <x:c r="A258" s="284"/>
      <x:c r="B258" s="284"/>
      <x:c r="C258" s="284"/>
      <x:c r="D258" s="284"/>
      <x:c r="E258" s="284"/>
      <x:c r="F258" s="284"/>
    </x:row>
    <x:row r="259">
      <x:c r="A259" s="284"/>
      <x:c r="B259" s="284"/>
      <x:c r="C259" s="284"/>
      <x:c r="D259" s="284"/>
      <x:c r="E259" s="284"/>
      <x:c r="F259" s="284"/>
    </x:row>
    <x:row r="260">
      <x:c r="A260" s="284"/>
      <x:c r="B260" s="284"/>
      <x:c r="C260" s="284"/>
      <x:c r="D260" s="284"/>
      <x:c r="E260" s="284"/>
      <x:c r="F260" s="284"/>
    </x:row>
    <x:row r="261">
      <x:c r="A261" s="284"/>
      <x:c r="B261" s="284"/>
      <x:c r="C261" s="284"/>
      <x:c r="D261" s="284"/>
      <x:c r="E261" s="284"/>
      <x:c r="F261" s="284"/>
    </x:row>
    <x:row r="262">
      <x:c r="A262" s="284"/>
      <x:c r="B262" s="284"/>
      <x:c r="C262" s="284"/>
      <x:c r="D262" s="284"/>
      <x:c r="E262" s="284"/>
      <x:c r="F262" s="284"/>
    </x:row>
    <x:row r="263">
      <x:c r="A263" s="284"/>
      <x:c r="B263" s="284"/>
      <x:c r="C263" s="284"/>
      <x:c r="D263" s="284"/>
      <x:c r="E263" s="284"/>
      <x:c r="F263" s="284"/>
    </x:row>
    <x:row r="264">
      <x:c r="A264" s="284"/>
      <x:c r="B264" s="284"/>
      <x:c r="C264" s="284"/>
      <x:c r="D264" s="284"/>
      <x:c r="E264" s="284"/>
      <x:c r="F264" s="284"/>
    </x:row>
    <x:row r="265">
      <x:c r="A265" s="284"/>
      <x:c r="B265" s="284"/>
      <x:c r="C265" s="284"/>
      <x:c r="D265" s="284"/>
      <x:c r="E265" s="284"/>
      <x:c r="F265" s="284"/>
    </x:row>
    <x:row r="266">
      <x:c r="A266" s="284"/>
      <x:c r="B266" s="284"/>
      <x:c r="C266" s="284"/>
      <x:c r="D266" s="284"/>
      <x:c r="E266" s="284"/>
      <x:c r="F266" s="284"/>
    </x:row>
    <x:row r="267">
      <x:c r="A267" s="284"/>
      <x:c r="B267" s="284"/>
      <x:c r="C267" s="284"/>
      <x:c r="D267" s="284"/>
      <x:c r="E267" s="284"/>
      <x:c r="F267" s="284"/>
    </x:row>
    <x:row r="268">
      <x:c r="A268" s="284"/>
      <x:c r="B268" s="284"/>
      <x:c r="C268" s="284"/>
      <x:c r="D268" s="284"/>
      <x:c r="E268" s="284"/>
      <x:c r="F268" s="284"/>
    </x:row>
    <x:row r="269">
      <x:c r="A269" s="284"/>
      <x:c r="B269" s="284"/>
      <x:c r="C269" s="284"/>
      <x:c r="D269" s="284"/>
      <x:c r="E269" s="284"/>
      <x:c r="F269" s="284"/>
    </x:row>
    <x:row r="270">
      <x:c r="A270" s="284"/>
      <x:c r="B270" s="284"/>
      <x:c r="C270" s="284"/>
      <x:c r="D270" s="284"/>
      <x:c r="E270" s="284"/>
      <x:c r="F270" s="284"/>
    </x:row>
    <x:row r="271">
      <x:c r="A271" s="284"/>
      <x:c r="B271" s="284"/>
      <x:c r="C271" s="284"/>
      <x:c r="D271" s="284"/>
      <x:c r="E271" s="284"/>
      <x:c r="F271" s="284"/>
    </x:row>
    <x:row r="272">
      <x:c r="A272" s="284"/>
      <x:c r="B272" s="284"/>
      <x:c r="C272" s="284"/>
      <x:c r="D272" s="284"/>
      <x:c r="E272" s="284"/>
      <x:c r="F272" s="284"/>
    </x:row>
    <x:row r="273">
      <x:c r="A273" s="284"/>
      <x:c r="B273" s="284"/>
      <x:c r="C273" s="284"/>
      <x:c r="D273" s="284"/>
      <x:c r="E273" s="284"/>
      <x:c r="F273" s="284"/>
    </x:row>
    <x:row r="274">
      <x:c r="A274" s="284"/>
      <x:c r="B274" s="284"/>
      <x:c r="C274" s="284"/>
      <x:c r="D274" s="284"/>
      <x:c r="E274" s="284"/>
      <x:c r="F274" s="284"/>
    </x:row>
    <x:row r="275">
      <x:c r="A275" s="284"/>
      <x:c r="B275" s="284"/>
      <x:c r="C275" s="284"/>
      <x:c r="D275" s="284"/>
      <x:c r="E275" s="284"/>
      <x:c r="F275" s="284"/>
    </x:row>
    <x:row r="276">
      <x:c r="A276" s="284"/>
      <x:c r="B276" s="284"/>
      <x:c r="C276" s="284"/>
      <x:c r="D276" s="284"/>
      <x:c r="E276" s="284"/>
      <x:c r="F276" s="284"/>
    </x:row>
    <x:row r="277">
      <x:c r="A277" s="284"/>
      <x:c r="B277" s="284"/>
      <x:c r="C277" s="284"/>
      <x:c r="D277" s="284"/>
      <x:c r="E277" s="284"/>
      <x:c r="F277" s="284"/>
    </x:row>
    <x:row r="278">
      <x:c r="A278" s="284"/>
      <x:c r="B278" s="284"/>
      <x:c r="C278" s="284"/>
      <x:c r="D278" s="284"/>
      <x:c r="E278" s="284"/>
      <x:c r="F278" s="284"/>
    </x:row>
    <x:row r="279">
      <x:c r="A279" s="284"/>
      <x:c r="B279" s="284"/>
      <x:c r="C279" s="284"/>
      <x:c r="D279" s="284"/>
      <x:c r="E279" s="284"/>
      <x:c r="F279" s="284"/>
    </x:row>
    <x:row r="280">
      <x:c r="A280" s="284"/>
      <x:c r="B280" s="284"/>
      <x:c r="C280" s="284"/>
      <x:c r="D280" s="284"/>
      <x:c r="E280" s="284"/>
      <x:c r="F280" s="284"/>
    </x:row>
    <x:row r="281">
      <x:c r="A281" s="284"/>
      <x:c r="B281" s="284"/>
      <x:c r="C281" s="284"/>
      <x:c r="D281" s="284"/>
      <x:c r="E281" s="284"/>
      <x:c r="F281" s="284"/>
    </x:row>
    <x:row r="282">
      <x:c r="A282" s="284"/>
      <x:c r="B282" s="284"/>
      <x:c r="C282" s="284"/>
      <x:c r="D282" s="284"/>
      <x:c r="E282" s="284"/>
      <x:c r="F282" s="284"/>
    </x:row>
    <x:row r="283">
      <x:c r="A283" s="284"/>
      <x:c r="B283" s="284"/>
      <x:c r="C283" s="284"/>
      <x:c r="D283" s="284"/>
      <x:c r="E283" s="284"/>
      <x:c r="F283" s="284"/>
    </x:row>
    <x:row r="284">
      <x:c r="A284" s="284"/>
      <x:c r="B284" s="284"/>
      <x:c r="C284" s="284"/>
      <x:c r="D284" s="284"/>
      <x:c r="E284" s="284"/>
      <x:c r="F284" s="284"/>
    </x:row>
    <x:row r="285">
      <x:c r="A285" s="284"/>
      <x:c r="B285" s="284"/>
      <x:c r="C285" s="284"/>
      <x:c r="D285" s="284"/>
      <x:c r="E285" s="284"/>
      <x:c r="F285" s="284"/>
    </x:row>
    <x:row r="286">
      <x:c r="A286" s="284"/>
      <x:c r="B286" s="284"/>
      <x:c r="C286" s="284"/>
      <x:c r="D286" s="284"/>
      <x:c r="E286" s="284"/>
      <x:c r="F286" s="284"/>
    </x:row>
    <x:row r="287">
      <x:c r="A287" s="284"/>
      <x:c r="B287" s="284"/>
      <x:c r="C287" s="284"/>
      <x:c r="D287" s="284"/>
      <x:c r="E287" s="284"/>
      <x:c r="F287" s="284"/>
    </x:row>
    <x:row r="288">
      <x:c r="A288" s="284"/>
      <x:c r="B288" s="284"/>
      <x:c r="C288" s="284"/>
      <x:c r="D288" s="284"/>
      <x:c r="E288" s="284"/>
      <x:c r="F288" s="284"/>
    </x:row>
    <x:row r="289">
      <x:c r="A289" s="284"/>
      <x:c r="B289" s="284"/>
      <x:c r="C289" s="284"/>
      <x:c r="D289" s="284"/>
      <x:c r="E289" s="284"/>
      <x:c r="F289" s="284"/>
    </x:row>
    <x:row r="290">
      <x:c r="A290" s="284"/>
      <x:c r="B290" s="284"/>
      <x:c r="C290" s="284"/>
      <x:c r="D290" s="284"/>
      <x:c r="E290" s="284"/>
      <x:c r="F290" s="284"/>
    </x:row>
    <x:row r="291">
      <x:c r="A291" s="284"/>
      <x:c r="B291" s="284"/>
      <x:c r="C291" s="284"/>
      <x:c r="D291" s="284"/>
      <x:c r="E291" s="284"/>
      <x:c r="F291" s="284"/>
    </x:row>
    <x:row r="292">
      <x:c r="A292" s="284"/>
      <x:c r="B292" s="284"/>
      <x:c r="C292" s="284"/>
      <x:c r="D292" s="284"/>
      <x:c r="E292" s="284"/>
      <x:c r="F292" s="284"/>
    </x:row>
    <x:row r="293">
      <x:c r="A293" s="284"/>
      <x:c r="B293" s="284"/>
      <x:c r="C293" s="284"/>
      <x:c r="D293" s="284"/>
      <x:c r="E293" s="284"/>
      <x:c r="F293" s="284"/>
    </x:row>
    <x:row r="294">
      <x:c r="A294" s="284"/>
      <x:c r="B294" s="284"/>
      <x:c r="C294" s="284"/>
      <x:c r="D294" s="284"/>
      <x:c r="E294" s="284"/>
      <x:c r="F294" s="284"/>
    </x:row>
    <x:row r="295">
      <x:c r="A295" s="284"/>
      <x:c r="B295" s="284"/>
      <x:c r="C295" s="284"/>
      <x:c r="D295" s="284"/>
      <x:c r="E295" s="284"/>
      <x:c r="F295" s="284"/>
    </x:row>
    <x:row r="296">
      <x:c r="A296" s="284"/>
      <x:c r="B296" s="284"/>
      <x:c r="C296" s="284"/>
      <x:c r="D296" s="284"/>
      <x:c r="E296" s="284"/>
      <x:c r="F296" s="284"/>
    </x:row>
    <x:row r="297">
      <x:c r="A297" s="284"/>
      <x:c r="B297" s="284"/>
      <x:c r="C297" s="284"/>
      <x:c r="D297" s="284"/>
      <x:c r="E297" s="284"/>
      <x:c r="F297" s="284"/>
    </x:row>
    <x:row r="298">
      <x:c r="A298" s="284"/>
      <x:c r="B298" s="284"/>
      <x:c r="C298" s="284"/>
      <x:c r="D298" s="284"/>
      <x:c r="E298" s="284"/>
      <x:c r="F298" s="284"/>
    </x:row>
    <x:row r="299">
      <x:c r="A299" s="284"/>
      <x:c r="B299" s="284"/>
      <x:c r="C299" s="284"/>
      <x:c r="D299" s="284"/>
      <x:c r="E299" s="284"/>
      <x:c r="F299" s="284"/>
    </x:row>
    <x:row r="300">
      <x:c r="A300" s="284"/>
      <x:c r="B300" s="284"/>
      <x:c r="C300" s="284"/>
      <x:c r="D300" s="284"/>
      <x:c r="E300" s="284"/>
      <x:c r="F300" s="284"/>
    </x:row>
    <x:row r="301">
      <x:c r="A301" s="284"/>
      <x:c r="B301" s="284"/>
      <x:c r="C301" s="284"/>
      <x:c r="D301" s="284"/>
      <x:c r="E301" s="284"/>
      <x:c r="F301" s="284"/>
    </x:row>
    <x:row r="302">
      <x:c r="A302" s="284"/>
      <x:c r="B302" s="284"/>
      <x:c r="C302" s="284"/>
      <x:c r="D302" s="284"/>
      <x:c r="E302" s="284"/>
      <x:c r="F302" s="284"/>
    </x:row>
    <x:row r="303">
      <x:c r="A303" s="284"/>
      <x:c r="B303" s="284"/>
      <x:c r="C303" s="284"/>
      <x:c r="D303" s="284"/>
      <x:c r="E303" s="284"/>
      <x:c r="F303" s="284"/>
    </x:row>
    <x:row r="304">
      <x:c r="A304" s="284"/>
      <x:c r="B304" s="284"/>
      <x:c r="C304" s="284"/>
      <x:c r="D304" s="284"/>
      <x:c r="E304" s="284"/>
      <x:c r="F304" s="284"/>
    </x:row>
    <x:row r="305">
      <x:c r="A305" s="284"/>
      <x:c r="B305" s="284"/>
      <x:c r="C305" s="284"/>
      <x:c r="D305" s="284"/>
      <x:c r="E305" s="284"/>
      <x:c r="F305" s="284"/>
    </x:row>
    <x:row r="306">
      <x:c r="A306" s="284"/>
      <x:c r="B306" s="284"/>
      <x:c r="C306" s="284"/>
      <x:c r="D306" s="284"/>
      <x:c r="E306" s="284"/>
      <x:c r="F306" s="284"/>
    </x:row>
    <x:row r="307">
      <x:c r="A307" s="284"/>
      <x:c r="B307" s="284"/>
      <x:c r="C307" s="284"/>
      <x:c r="D307" s="284"/>
      <x:c r="E307" s="284"/>
      <x:c r="F307" s="284"/>
    </x:row>
    <x:row r="308">
      <x:c r="A308" s="284"/>
      <x:c r="B308" s="284"/>
      <x:c r="C308" s="284"/>
      <x:c r="D308" s="284"/>
      <x:c r="E308" s="284"/>
      <x:c r="F308" s="284"/>
    </x:row>
    <x:row r="309">
      <x:c r="A309" s="284"/>
      <x:c r="B309" s="284"/>
      <x:c r="C309" s="284"/>
      <x:c r="D309" s="284"/>
      <x:c r="E309" s="284"/>
      <x:c r="F309" s="284"/>
    </x:row>
    <x:row r="310">
      <x:c r="A310" s="284"/>
      <x:c r="B310" s="284"/>
      <x:c r="C310" s="284"/>
      <x:c r="D310" s="284"/>
      <x:c r="E310" s="284"/>
      <x:c r="F310" s="284"/>
    </x:row>
    <x:row r="311">
      <x:c r="A311" s="284"/>
      <x:c r="B311" s="284"/>
      <x:c r="C311" s="284"/>
      <x:c r="D311" s="284"/>
      <x:c r="E311" s="284"/>
      <x:c r="F311" s="284"/>
    </x:row>
    <x:row r="312">
      <x:c r="A312" s="284"/>
      <x:c r="B312" s="284"/>
      <x:c r="C312" s="284"/>
      <x:c r="D312" s="284"/>
      <x:c r="E312" s="284"/>
      <x:c r="F312" s="284"/>
    </x:row>
    <x:row r="313">
      <x:c r="A313" s="284"/>
      <x:c r="B313" s="284"/>
      <x:c r="C313" s="284"/>
      <x:c r="D313" s="284"/>
      <x:c r="E313" s="284"/>
      <x:c r="F313" s="284"/>
    </x:row>
    <x:row r="314">
      <x:c r="A314" s="284"/>
      <x:c r="B314" s="284"/>
      <x:c r="C314" s="284"/>
      <x:c r="D314" s="284"/>
      <x:c r="E314" s="284"/>
      <x:c r="F314" s="284"/>
    </x:row>
    <x:row r="315">
      <x:c r="A315" s="284"/>
      <x:c r="B315" s="284"/>
      <x:c r="C315" s="284"/>
      <x:c r="D315" s="284"/>
      <x:c r="E315" s="284"/>
      <x:c r="F315" s="284"/>
    </x:row>
    <x:row r="316">
      <x:c r="A316" s="284"/>
      <x:c r="B316" s="284"/>
      <x:c r="C316" s="284"/>
      <x:c r="D316" s="284"/>
      <x:c r="E316" s="284"/>
      <x:c r="F316" s="284"/>
    </x:row>
    <x:row r="317">
      <x:c r="A317" s="284"/>
      <x:c r="B317" s="284"/>
      <x:c r="C317" s="284"/>
      <x:c r="D317" s="284"/>
      <x:c r="E317" s="284"/>
      <x:c r="F317" s="284"/>
    </x:row>
    <x:row r="318">
      <x:c r="A318" s="284"/>
      <x:c r="B318" s="284"/>
      <x:c r="C318" s="284"/>
      <x:c r="D318" s="284"/>
      <x:c r="E318" s="284"/>
      <x:c r="F318" s="284"/>
    </x:row>
    <x:row r="319">
      <x:c r="A319" s="284"/>
      <x:c r="B319" s="284"/>
      <x:c r="C319" s="284"/>
      <x:c r="D319" s="284"/>
      <x:c r="E319" s="284"/>
      <x:c r="F319" s="284"/>
    </x:row>
    <x:row r="320">
      <x:c r="A320" s="284"/>
      <x:c r="B320" s="284"/>
      <x:c r="C320" s="284"/>
      <x:c r="D320" s="284"/>
      <x:c r="E320" s="284"/>
      <x:c r="F320" s="284"/>
    </x:row>
    <x:row r="321">
      <x:c r="A321" s="284"/>
      <x:c r="B321" s="284"/>
      <x:c r="C321" s="284"/>
      <x:c r="D321" s="284"/>
      <x:c r="E321" s="284"/>
      <x:c r="F321" s="284"/>
    </x:row>
    <x:row r="322">
      <x:c r="A322" s="284"/>
      <x:c r="B322" s="284"/>
      <x:c r="C322" s="284"/>
      <x:c r="D322" s="284"/>
      <x:c r="E322" s="284"/>
      <x:c r="F322" s="284"/>
    </x:row>
    <x:row r="323">
      <x:c r="A323" s="284"/>
      <x:c r="B323" s="284"/>
      <x:c r="C323" s="284"/>
      <x:c r="D323" s="284"/>
      <x:c r="E323" s="284"/>
      <x:c r="F323" s="284"/>
    </x:row>
    <x:row r="324">
      <x:c r="A324" s="284"/>
      <x:c r="B324" s="284"/>
      <x:c r="C324" s="284"/>
      <x:c r="D324" s="284"/>
      <x:c r="E324" s="284"/>
      <x:c r="F324" s="284"/>
    </x:row>
    <x:row r="325">
      <x:c r="A325" s="284"/>
      <x:c r="B325" s="284"/>
      <x:c r="C325" s="284"/>
      <x:c r="D325" s="284"/>
      <x:c r="E325" s="284"/>
      <x:c r="F325" s="284"/>
    </x:row>
    <x:row r="326">
      <x:c r="A326" s="284"/>
      <x:c r="B326" s="284"/>
      <x:c r="C326" s="284"/>
      <x:c r="D326" s="284"/>
      <x:c r="E326" s="284"/>
      <x:c r="F326" s="284"/>
    </x:row>
    <x:row r="327">
      <x:c r="A327" s="284"/>
      <x:c r="B327" s="284"/>
      <x:c r="C327" s="284"/>
      <x:c r="D327" s="284"/>
      <x:c r="E327" s="284"/>
      <x:c r="F327" s="284"/>
    </x:row>
    <x:row r="328">
      <x:c r="A328" s="284"/>
      <x:c r="B328" s="284"/>
      <x:c r="C328" s="284"/>
      <x:c r="D328" s="284"/>
      <x:c r="E328" s="284"/>
      <x:c r="F328" s="284"/>
    </x:row>
    <x:row r="329">
      <x:c r="A329" s="284"/>
      <x:c r="B329" s="284"/>
      <x:c r="C329" s="284"/>
      <x:c r="D329" s="284"/>
      <x:c r="E329" s="284"/>
      <x:c r="F329" s="284"/>
    </x:row>
    <x:row r="330">
      <x:c r="A330" s="284"/>
      <x:c r="B330" s="284"/>
      <x:c r="C330" s="284"/>
      <x:c r="D330" s="284"/>
      <x:c r="E330" s="284"/>
      <x:c r="F330" s="284"/>
    </x:row>
    <x:row r="331">
      <x:c r="A331" s="284"/>
      <x:c r="B331" s="284"/>
      <x:c r="C331" s="284"/>
      <x:c r="D331" s="284"/>
      <x:c r="E331" s="284"/>
      <x:c r="F331" s="284"/>
    </x:row>
    <x:row r="332">
      <x:c r="A332" s="284"/>
      <x:c r="B332" s="284"/>
      <x:c r="C332" s="284"/>
      <x:c r="D332" s="284"/>
      <x:c r="E332" s="284"/>
      <x:c r="F332" s="284"/>
    </x:row>
    <x:row r="333">
      <x:c r="A333" s="284"/>
      <x:c r="B333" s="284"/>
      <x:c r="C333" s="284"/>
      <x:c r="D333" s="284"/>
      <x:c r="E333" s="284"/>
      <x:c r="F333" s="284"/>
    </x:row>
    <x:row r="334">
      <x:c r="A334" s="284"/>
      <x:c r="B334" s="284"/>
      <x:c r="C334" s="284"/>
      <x:c r="D334" s="284"/>
      <x:c r="E334" s="284"/>
      <x:c r="F334" s="284"/>
    </x:row>
    <x:row r="335">
      <x:c r="A335" s="284"/>
      <x:c r="B335" s="284"/>
      <x:c r="C335" s="284"/>
      <x:c r="D335" s="284"/>
      <x:c r="E335" s="284"/>
      <x:c r="F335" s="284"/>
    </x:row>
    <x:row r="336">
      <x:c r="A336" s="284"/>
      <x:c r="B336" s="284"/>
      <x:c r="C336" s="284"/>
      <x:c r="D336" s="284"/>
      <x:c r="E336" s="284"/>
      <x:c r="F336" s="284"/>
    </x:row>
    <x:row r="337">
      <x:c r="A337" s="284"/>
      <x:c r="B337" s="284"/>
      <x:c r="C337" s="284"/>
      <x:c r="D337" s="284"/>
      <x:c r="E337" s="284"/>
      <x:c r="F337" s="284"/>
    </x:row>
    <x:row r="338">
      <x:c r="A338" s="284"/>
      <x:c r="B338" s="284"/>
      <x:c r="C338" s="284"/>
      <x:c r="D338" s="284"/>
      <x:c r="E338" s="284"/>
      <x:c r="F338" s="284"/>
    </x:row>
    <x:row r="339">
      <x:c r="A339" s="284"/>
      <x:c r="B339" s="284"/>
      <x:c r="C339" s="284"/>
      <x:c r="D339" s="284"/>
      <x:c r="E339" s="284"/>
      <x:c r="F339" s="284"/>
    </x:row>
    <x:row r="340">
      <x:c r="A340" s="284"/>
      <x:c r="B340" s="284"/>
      <x:c r="C340" s="284"/>
      <x:c r="D340" s="284"/>
      <x:c r="E340" s="284"/>
      <x:c r="F340" s="284"/>
    </x:row>
    <x:row r="341">
      <x:c r="A341" s="284"/>
      <x:c r="B341" s="284"/>
      <x:c r="C341" s="284"/>
      <x:c r="D341" s="284"/>
      <x:c r="E341" s="284"/>
      <x:c r="F341" s="284"/>
    </x:row>
    <x:row r="342">
      <x:c r="A342" s="284"/>
      <x:c r="B342" s="284"/>
      <x:c r="C342" s="284"/>
      <x:c r="D342" s="284"/>
      <x:c r="E342" s="284"/>
      <x:c r="F342" s="284"/>
    </x:row>
    <x:row r="343">
      <x:c r="A343" s="284"/>
      <x:c r="B343" s="284"/>
      <x:c r="C343" s="284"/>
      <x:c r="D343" s="284"/>
      <x:c r="E343" s="284"/>
      <x:c r="F343" s="284"/>
    </x:row>
    <x:row r="344">
      <x:c r="A344" s="284"/>
      <x:c r="B344" s="284"/>
      <x:c r="C344" s="284"/>
      <x:c r="D344" s="284"/>
      <x:c r="E344" s="284"/>
      <x:c r="F344" s="284"/>
    </x:row>
    <x:row r="345">
      <x:c r="A345" s="284"/>
      <x:c r="B345" s="284"/>
      <x:c r="C345" s="284"/>
      <x:c r="D345" s="284"/>
      <x:c r="E345" s="284"/>
      <x:c r="F345" s="284"/>
    </x:row>
    <x:row r="346">
      <x:c r="A346" s="284"/>
      <x:c r="B346" s="284"/>
      <x:c r="C346" s="284"/>
      <x:c r="D346" s="284"/>
      <x:c r="E346" s="284"/>
      <x:c r="F346" s="284"/>
    </x:row>
    <x:row r="347">
      <x:c r="A347" s="284"/>
      <x:c r="B347" s="284"/>
      <x:c r="C347" s="284"/>
      <x:c r="D347" s="284"/>
      <x:c r="E347" s="284"/>
      <x:c r="F347" s="284"/>
    </x:row>
    <x:row r="348">
      <x:c r="A348" s="284"/>
      <x:c r="B348" s="284"/>
      <x:c r="C348" s="284"/>
      <x:c r="D348" s="284"/>
      <x:c r="E348" s="284"/>
      <x:c r="F348" s="284"/>
    </x:row>
    <x:row r="349">
      <x:c r="A349" s="284"/>
      <x:c r="B349" s="284"/>
      <x:c r="C349" s="284"/>
      <x:c r="D349" s="284"/>
      <x:c r="E349" s="284"/>
      <x:c r="F349" s="284"/>
    </x:row>
    <x:row r="350">
      <x:c r="A350" s="284"/>
      <x:c r="B350" s="284"/>
      <x:c r="C350" s="284"/>
      <x:c r="D350" s="284"/>
      <x:c r="E350" s="284"/>
      <x:c r="F350" s="284"/>
    </x:row>
  </x:sheetData>
  <x:mergeCells>
    <x:mergeCell ref="A1:F1"/>
    <x:mergeCell ref="A2:F2"/>
    <x:mergeCell ref="C4:F4"/>
    <x:mergeCell ref="B6:C6"/>
    <x:mergeCell ref="D6:E6"/>
    <x:mergeCell ref="B7:C7"/>
    <x:mergeCell ref="D7:E7"/>
    <x:mergeCell ref="B8:C8"/>
    <x:mergeCell ref="D8:E8"/>
    <x:mergeCell ref="B9:C9"/>
    <x:mergeCell ref="D9:E9"/>
    <x:mergeCell ref="B10:C10"/>
    <x:mergeCell ref="D10:E10"/>
    <x:mergeCell ref="B11:C11"/>
    <x:mergeCell ref="D11:E11"/>
    <x:mergeCell ref="B12:C12"/>
    <x:mergeCell ref="D12:E12"/>
    <x:mergeCell ref="B13:C13"/>
    <x:mergeCell ref="D13:E13"/>
    <x:mergeCell ref="B14:C14"/>
    <x:mergeCell ref="D14:E14"/>
    <x:mergeCell ref="B15:C15"/>
    <x:mergeCell ref="D15:E15"/>
    <x:mergeCell ref="B16:C16"/>
    <x:mergeCell ref="D16:E16"/>
    <x:mergeCell ref="B17:C17"/>
    <x:mergeCell ref="D17:E17"/>
    <x:mergeCell ref="B18:C18"/>
    <x:mergeCell ref="D18:E18"/>
    <x:mergeCell ref="B19:C19"/>
    <x:mergeCell ref="D19:E19"/>
    <x:mergeCell ref="B20:C20"/>
    <x:mergeCell ref="D20:E20"/>
    <x:mergeCell ref="B21:C21"/>
    <x:mergeCell ref="D21:E21"/>
    <x:mergeCell ref="B22:C22"/>
    <x:mergeCell ref="D22:E22"/>
    <x:mergeCell ref="A24:F25"/>
  </x:mergeCell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286" t="str">
        <x:v>Remote Source Cards — Access, Fit and Next Step</x:v>
      </x:c>
      <x:c r="B1" s="286"/>
      <x:c r="C1" s="286"/>
      <x:c r="D1" s="286"/>
      <x:c r="E1" s="286"/>
      <x:c r="F1" s="286"/>
    </x:row>
    <x:row r="2" ht="44" customHeight="1">
      <x:c r="A2" s="287" t="str">
        <x:v>15 Sep 2026 • Source URLs document discovery. No raw dataset files were acquired or validated during this review. Blank contact fields mean no suitable public email was verified.</x:v>
      </x:c>
      <x:c r="B2" s="287"/>
      <x:c r="C2" s="287"/>
      <x:c r="D2" s="287"/>
      <x:c r="E2" s="287"/>
      <x:c r="F2" s="287"/>
    </x:row>
    <x:row r="3">
      <x:c r="A3" s="284"/>
      <x:c r="B3" s="284"/>
      <x:c r="C3" s="284"/>
      <x:c r="D3" s="284"/>
      <x:c r="E3" s="284"/>
      <x:c r="F3" s="284"/>
    </x:row>
    <x:row r="4" ht="26" customHeight="1">
      <x:c r="A4" s="284" t="str">
        <x:v>Blue headings identify source cards; shading is for readability, not progress grading.</x:v>
      </x:c>
      <x:c r="B4" s="284"/>
      <x:c r="C4" s="284"/>
      <x:c r="D4" s="284"/>
      <x:c r="E4" s="284"/>
      <x:c r="F4" s="284"/>
    </x:row>
    <x:row r="5">
      <x:c r="A5" s="284"/>
      <x:c r="B5" s="284"/>
      <x:c r="C5" s="284"/>
      <x:c r="D5" s="284"/>
      <x:c r="E5" s="284"/>
      <x:c r="F5" s="284"/>
    </x:row>
    <x:row r="6" ht="30" customHeight="1">
      <x:c r="A6" s="289" t="str">
        <x:v>MX-01  |  Mexico — UNAM / SCiESMEX / LANCE</x:v>
      </x:c>
      <x:c r="B6" s="289"/>
      <x:c r="C6" s="289"/>
      <x:c r="D6" s="289"/>
      <x:c r="E6" s="289"/>
      <x:c r="F6" s="289"/>
    </x:row>
    <x:row r="7" ht="42" customHeight="1">
      <x:c r="A7" s="292" t="str">
        <x:v>Evidence class</x:v>
      </x:c>
      <x:c r="B7" s="290" t="str">
        <x:v>Environmental observations</x:v>
      </x:c>
      <x:c r="C7" s="290"/>
      <x:c r="D7" s="290"/>
      <x:c r="E7" s="290"/>
      <x:c r="F7" s="290"/>
    </x:row>
    <x:row r="8" ht="42" customHeight="1">
      <x:c r="A8" s="292" t="str">
        <x:v>Data / coverage</x:v>
      </x:c>
      <x:c r="B8" s="291" t="str">
        <x:v>RICE public space-weather repository: Mexican geomagnetic, ionospheric/GNSS and solar/radio products; exact numerical product and period still to select.</x:v>
      </x:c>
      <x:c r="C8" s="291"/>
      <x:c r="D8" s="291"/>
      <x:c r="E8" s="291"/>
      <x:c r="F8" s="291"/>
    </x:row>
    <x:row r="9" ht="42" customHeight="1">
      <x:c r="A9" s="292" t="str">
        <x:v>Verified access state</x:v>
      </x:c>
      <x:c r="B9" s="290" t="str">
        <x:v>Public repository and product catalogue verified; no numerical sample downloaded.</x:v>
      </x:c>
      <x:c r="C9" s="290"/>
      <x:c r="D9" s="290"/>
      <x:c r="E9" s="290"/>
      <x:c r="F9" s="290"/>
    </x:row>
    <x:row r="10" ht="42" customHeight="1">
      <x:c r="A10" s="292" t="str">
        <x:v>Contact</x:v>
      </x:c>
      <x:c r="B10" s="291" t="str">
        <x:v>Dr. Juan Américo González-Esparza — americo@igeofisica.unam.mx; Dr. Maria Sergeeva — sergeeva@geofisica.unam.mx</x:v>
      </x:c>
      <x:c r="C10" s="291"/>
      <x:c r="D10" s="291"/>
      <x:c r="E10" s="291"/>
      <x:c r="F10" s="291"/>
    </x:row>
    <x:row r="11" ht="57" customHeight="1">
      <x:c r="A11" s="292" t="str">
        <x:v>Next step</x:v>
      </x:c>
      <x:c r="B11" s="290" t="str">
        <x:v>Choose one Mexican station/product and quiet + disturbed window. Request numerical files, UTC/cadence, quality flags, citation/usage rules; ask separately for network-data referrals.</x:v>
      </x:c>
      <x:c r="C11" s="290"/>
      <x:c r="D11" s="290"/>
      <x:c r="E11" s="290"/>
      <x:c r="F11" s="290"/>
    </x:row>
    <x:row r="12" ht="42" customHeight="1">
      <x:c r="A12" s="292" t="str">
        <x:v>Interpretation limits</x:v>
      </x:c>
      <x:c r="B12" s="291" t="str">
        <x:v>Not RTT, packet loss or service uptime. Some displayed products originate from external providers; track original provenance.</x:v>
      </x:c>
      <x:c r="C12" s="291"/>
      <x:c r="D12" s="291"/>
      <x:c r="E12" s="291"/>
      <x:c r="F12" s="291"/>
    </x:row>
    <x:row r="13" ht="30" customHeight="1">
      <x:c r="A13" s="292" t="str">
        <x:v>Source URL 1</x:v>
      </x:c>
      <x:c r="B13" s="293" t="str">
        <x:v>https://www.rice.unam.mx/</x:v>
      </x:c>
      <x:c r="C13" s="293"/>
      <x:c r="D13" s="293"/>
      <x:c r="E13" s="293"/>
      <x:c r="F13" s="293"/>
    </x:row>
    <x:row r="14" ht="30" customHeight="1">
      <x:c r="A14" s="292" t="str">
        <x:v>Source URL 2</x:v>
      </x:c>
      <x:c r="B14" s="294" t="str">
        <x:v>https://www.sciesmex.unam.mx/datos/</x:v>
      </x:c>
      <x:c r="C14" s="294"/>
      <x:c r="D14" s="294"/>
      <x:c r="E14" s="294"/>
      <x:c r="F14" s="294"/>
    </x:row>
    <x:row r="15" ht="30" customHeight="1">
      <x:c r="A15" s="292" t="str">
        <x:v>Source URL 3</x:v>
      </x:c>
      <x:c r="B15" s="293" t="str">
        <x:v>https://www.sciesmex.unam.mx/contacto/</x:v>
      </x:c>
      <x:c r="C15" s="293"/>
      <x:c r="D15" s="293"/>
      <x:c r="E15" s="293"/>
      <x:c r="F15" s="293"/>
    </x:row>
    <x:row r="16">
      <x:c r="A16" s="284"/>
      <x:c r="B16" s="284"/>
      <x:c r="C16" s="284"/>
      <x:c r="D16" s="284"/>
      <x:c r="E16" s="284"/>
      <x:c r="F16" s="284"/>
    </x:row>
    <x:row r="17" ht="30" customHeight="1">
      <x:c r="A17" s="289" t="str">
        <x:v>AR-01  |  Argentina — Universidad Nacional de La Plata / SIRGAS</x:v>
      </x:c>
      <x:c r="B17" s="289"/>
      <x:c r="C17" s="289"/>
      <x:c r="D17" s="289"/>
      <x:c r="E17" s="289"/>
      <x:c r="F17" s="289"/>
    </x:row>
    <x:row r="18" ht="42" customHeight="1">
      <x:c r="A18" s="292" t="str">
        <x:v>Evidence class</x:v>
      </x:c>
      <x:c r="B18" s="291" t="str">
        <x:v>GNSS-derived environmental maps</x:v>
      </x:c>
      <x:c r="C18" s="291"/>
      <x:c r="D18" s="291"/>
      <x:c r="E18" s="291"/>
      <x:c r="F18" s="291"/>
    </x:row>
    <x:row r="19" ht="42" customHeight="1">
      <x:c r="A19" s="292" t="str">
        <x:v>Data / coverage</x:v>
      </x:c>
      <x:c r="B19" s="290" t="str">
        <x:v>SIRGAS documents hourly vertical-TEC maps since July 2005: 24 maps/day, 1-degree grids, numerical and graphical products derived with LPIM.</x:v>
      </x:c>
      <x:c r="C19" s="290"/>
      <x:c r="D19" s="290"/>
      <x:c r="E19" s="290"/>
      <x:c r="F19" s="290"/>
    </x:row>
    <x:row r="20" ht="42" customHeight="1">
      <x:c r="A20" s="292" t="str">
        <x:v>Verified access state</x:v>
      </x:c>
      <x:c r="B20" s="291" t="str">
        <x:v>Official product and legacy data-server pointer verified; direct legacy server access not confirmed in this review.</x:v>
      </x:c>
      <x:c r="C20" s="291"/>
      <x:c r="D20" s="291"/>
      <x:c r="E20" s="291"/>
      <x:c r="F20" s="291"/>
    </x:row>
    <x:row r="21" ht="42" customHeight="1">
      <x:c r="A21" s="292" t="str">
        <x:v>Contact</x:v>
      </x:c>
      <x:c r="B21" s="290" t="str">
        <x:v>SIRGAS general routing contact — sirgasipgh@gmail.com; no individual UNLP data contact verified.</x:v>
      </x:c>
      <x:c r="C21" s="290"/>
      <x:c r="D21" s="290"/>
      <x:c r="E21" s="290"/>
      <x:c r="F21" s="290"/>
    </x:row>
    <x:row r="22" ht="42" customHeight="1">
      <x:c r="A22" s="292" t="str">
        <x:v>Next step</x:v>
      </x:c>
      <x:c r="B22" s="291" t="str">
        <x:v>Request current numerical-map download endpoint, sample day, format/quality documentation and archive coverage.</x:v>
      </x:c>
      <x:c r="C22" s="291"/>
      <x:c r="D22" s="291"/>
      <x:c r="E22" s="291"/>
      <x:c r="F22" s="291"/>
    </x:row>
    <x:row r="23" ht="42" customHeight="1">
      <x:c r="A23" s="292" t="str">
        <x:v>Interpretation limits</x:v>
      </x:c>
      <x:c r="B23" s="290" t="str">
        <x:v>GNSS-derived maps/model product, not measured packet latency. Archive start does not guarantee complete station/period coverage.</x:v>
      </x:c>
      <x:c r="C23" s="290"/>
      <x:c r="D23" s="290"/>
      <x:c r="E23" s="290"/>
      <x:c r="F23" s="290"/>
    </x:row>
    <x:row r="24" ht="30" customHeight="1">
      <x:c r="A24" s="292" t="str">
        <x:v>Source URL 1</x:v>
      </x:c>
      <x:c r="B24" s="294" t="str">
        <x:v>https://sirgas.ipgh.org/en/products/ionospheric-maps/</x:v>
      </x:c>
      <x:c r="C24" s="294"/>
      <x:c r="D24" s="294"/>
      <x:c r="E24" s="294"/>
      <x:c r="F24" s="294"/>
    </x:row>
    <x:row r="25" ht="30" customHeight="1">
      <x:c r="A25" s="292" t="str">
        <x:v>Source URL 2</x:v>
      </x:c>
      <x:c r="B25" s="293" t="str">
        <x:v>http://cplat.fcaglp.unlp.edu.ar/</x:v>
      </x:c>
      <x:c r="C25" s="293"/>
      <x:c r="D25" s="293"/>
      <x:c r="E25" s="293"/>
      <x:c r="F25" s="293"/>
    </x:row>
    <x:row r="26">
      <x:c r="A26" s="284"/>
      <x:c r="B26" s="284"/>
      <x:c r="C26" s="284"/>
      <x:c r="D26" s="284"/>
      <x:c r="E26" s="284"/>
      <x:c r="F26" s="284"/>
    </x:row>
    <x:row r="27" ht="30" customHeight="1">
      <x:c r="A27" s="289" t="str">
        <x:v>AQ-01  |  Antarctica — US Antarctic Program / South Pole</x:v>
      </x:c>
      <x:c r="B27" s="289"/>
      <x:c r="C27" s="289"/>
      <x:c r="D27" s="289"/>
      <x:c r="E27" s="289"/>
      <x:c r="F27" s="289"/>
    </x:row>
    <x:row r="28" ht="42" customHeight="1">
      <x:c r="A28" s="292" t="str">
        <x:v>Evidence class</x:v>
      </x:c>
      <x:c r="B28" s="291" t="str">
        <x:v>Planned satellite contact schedules</x:v>
      </x:c>
      <x:c r="C28" s="291"/>
      <x:c r="D28" s="291"/>
      <x:c r="E28" s="291"/>
      <x:c r="F28" s="291"/>
    </x:row>
    <x:row r="29" ht="42" customHeight="1">
      <x:c r="A29" s="292" t="str">
        <x:v>Data / coverage</x:v>
      </x:c>
      <x:c r="B29" s="290" t="str">
        <x:v>Published weekly satellite-service/pass forecasts and schedule links for South Pole communications.</x:v>
      </x:c>
      <x:c r="C29" s="290"/>
      <x:c r="D29" s="290"/>
      <x:c r="E29" s="290"/>
      <x:c r="F29" s="290"/>
    </x:row>
    <x:row r="30" ht="42" customHeight="1">
      <x:c r="A30" s="292" t="str">
        <x:v>Verified access state</x:v>
      </x:c>
      <x:c r="B30" s="291" t="str">
        <x:v>Public schedule distribution verified; actual service logs and delay measurements not established.</x:v>
      </x:c>
      <x:c r="C30" s="291"/>
      <x:c r="D30" s="291"/>
      <x:c r="E30" s="291"/>
      <x:c r="F30" s="291"/>
    </x:row>
    <x:row r="31" ht="42" customHeight="1">
      <x:c r="A31" s="292" t="str">
        <x:v>Contact</x:v>
      </x:c>
      <x:c r="B31" s="290" t="str">
        <x:v>SPTR-subscribe@listserv.usap.gov — schedule subscription only, not a research-data helpdesk.</x:v>
      </x:c>
      <x:c r="C31" s="290"/>
      <x:c r="D31" s="290"/>
      <x:c r="E31" s="290"/>
      <x:c r="F31" s="290"/>
    </x:row>
    <x:row r="32" ht="42" customHeight="1">
      <x:c r="A32" s="292" t="str">
        <x:v>Next step</x:v>
      </x:c>
      <x:c r="B32" s="291" t="str">
        <x:v>Obtain a dated schedule sample and ask separately for public actual contact-success/failure, transferred bytes, interruption and restoration logs.</x:v>
      </x:c>
      <x:c r="C32" s="291"/>
      <x:c r="D32" s="291"/>
      <x:c r="E32" s="291"/>
      <x:c r="F32" s="291"/>
    </x:row>
    <x:row r="33" ht="57" customHeight="1">
      <x:c r="A33" s="292" t="str">
        <x:v>Interpretation limits</x:v>
      </x:c>
      <x:c r="B33" s="290" t="str">
        <x:v>Planned contacts are not actual availability. Model queue buildup, storage and post-contact transmission separately; confirm current assets rather than using retired-service descriptions.</x:v>
      </x:c>
      <x:c r="C33" s="290"/>
      <x:c r="D33" s="290"/>
      <x:c r="E33" s="290"/>
      <x:c r="F33" s="290"/>
    </x:row>
    <x:row r="34" ht="30" customHeight="1">
      <x:c r="A34" s="292" t="str">
        <x:v>Source URL 1</x:v>
      </x:c>
      <x:c r="B34" s="294" t="str">
        <x:v>https://www.usap.gov/technology/sctnsouthpolesats.cfm</x:v>
      </x:c>
      <x:c r="C34" s="294"/>
      <x:c r="D34" s="294"/>
      <x:c r="E34" s="294"/>
      <x:c r="F34" s="294"/>
    </x:row>
    <x:row r="35" ht="30" customHeight="1">
      <x:c r="A35" s="292" t="str">
        <x:v>Source URL 2</x:v>
      </x:c>
      <x:c r="B35" s="293" t="str">
        <x:v>https://www.usap.gov/technology/1974/</x:v>
      </x:c>
      <x:c r="C35" s="293"/>
      <x:c r="D35" s="293"/>
      <x:c r="E35" s="293"/>
      <x:c r="F35" s="293"/>
    </x:row>
    <x:row r="36">
      <x:c r="A36" s="284"/>
      <x:c r="B36" s="284"/>
      <x:c r="C36" s="284"/>
      <x:c r="D36" s="284"/>
      <x:c r="E36" s="284"/>
      <x:c r="F36" s="284"/>
    </x:row>
    <x:row r="37" ht="30" customHeight="1">
      <x:c r="A37" s="289" t="str">
        <x:v>AQ-02  |  Antarctica / Arctic — UiT Tromsø Geophysical Observatory</x:v>
      </x:c>
      <x:c r="B37" s="289"/>
      <x:c r="C37" s="289"/>
      <x:c r="D37" s="289"/>
      <x:c r="E37" s="289"/>
      <x:c r="F37" s="289"/>
    </x:row>
    <x:row r="38" ht="42" customHeight="1">
      <x:c r="A38" s="292" t="str">
        <x:v>Evidence class</x:v>
      </x:c>
      <x:c r="B38" s="291" t="str">
        <x:v>Geomagnetic observations</x:v>
      </x:c>
      <x:c r="C38" s="291"/>
      <x:c r="D38" s="291"/>
      <x:c r="E38" s="291"/>
      <x:c r="F38" s="291"/>
    </x:row>
    <x:row r="39" ht="42" customHeight="1">
      <x:c r="A39" s="292" t="str">
        <x:v>Data / coverage</x:v>
      </x:c>
      <x:c r="B39" s="290" t="str">
        <x:v>ASCII data selector includes Troll, Svalbard sites, Jan Mayen and Greenland sites. Options include one-minute and ten-second products where available.</x:v>
      </x:c>
      <x:c r="C39" s="290"/>
      <x:c r="D39" s="290"/>
      <x:c r="E39" s="290"/>
      <x:c r="F39" s="290"/>
    </x:row>
    <x:row r="40" ht="42" customHeight="1">
      <x:c r="A40" s="292" t="str">
        <x:v>Verified access state</x:v>
      </x:c>
      <x:c r="B40" s="291" t="str">
        <x:v>Download interface verified; password/data-use rules and site/date coverage must be checked.</x:v>
      </x:c>
      <x:c r="C40" s="291"/>
      <x:c r="D40" s="291"/>
      <x:c r="E40" s="291"/>
      <x:c r="F40" s="291"/>
    </x:row>
    <x:row r="41" ht="42" customHeight="1">
      <x:c r="A41" s="292" t="str">
        <x:v>Contact</x:v>
      </x:c>
      <x:c r="B41" s="290" t="str"/>
      <x:c r="C41" s="290"/>
      <x:c r="D41" s="290"/>
      <x:c r="E41" s="290"/>
      <x:c r="F41" s="290"/>
    </x:row>
    <x:row r="42" ht="42" customHeight="1">
      <x:c r="A42" s="292" t="str">
        <x:v>Next step</x:v>
      </x:c>
      <x:c r="B42" s="291" t="str">
        <x:v>Select one station and one event period; request/access IAGA-format sample and timing/quality documentation.</x:v>
      </x:c>
      <x:c r="C42" s="291"/>
      <x:c r="D42" s="291"/>
      <x:c r="E42" s="291"/>
      <x:c r="F42" s="291"/>
    </x:row>
    <x:row r="43" ht="42" customHeight="1">
      <x:c r="A43" s="292" t="str">
        <x:v>Interpretation limits</x:v>
      </x:c>
      <x:c r="B43" s="290" t="str">
        <x:v>Environmental magnetic-field observations, not satellite-network latency or downtime. Do not assume all listed stations or cadences are unrestricted or complete.</x:v>
      </x:c>
      <x:c r="C43" s="290"/>
      <x:c r="D43" s="290"/>
      <x:c r="E43" s="290"/>
      <x:c r="F43" s="290"/>
    </x:row>
    <x:row r="44" ht="30" customHeight="1">
      <x:c r="A44" s="292" t="str">
        <x:v>Source URL 1</x:v>
      </x:c>
      <x:c r="B44" s="294" t="str">
        <x:v>https://flux.phys.uit.no/ascii/</x:v>
      </x:c>
      <x:c r="C44" s="294"/>
      <x:c r="D44" s="294"/>
      <x:c r="E44" s="294"/>
      <x:c r="F44" s="294"/>
    </x:row>
    <x:row r="45">
      <x:c r="A45" s="284"/>
      <x:c r="B45" s="284"/>
      <x:c r="C45" s="284"/>
      <x:c r="D45" s="284"/>
      <x:c r="E45" s="284"/>
      <x:c r="F45" s="284"/>
    </x:row>
    <x:row r="46" ht="30" customHeight="1">
      <x:c r="A46" s="289" t="str">
        <x:v>BR-01  |  Brazil — Universidade Federal Fluminense / MídiaCom</x:v>
      </x:c>
      <x:c r="B46" s="289"/>
      <x:c r="C46" s="289"/>
      <x:c r="D46" s="289"/>
      <x:c r="E46" s="289"/>
      <x:c r="F46" s="289"/>
    </x:row>
    <x:row r="47" ht="42" customHeight="1">
      <x:c r="A47" s="292" t="str">
        <x:v>Evidence class</x:v>
      </x:c>
      <x:c r="B47" s="290" t="str">
        <x:v>Direct satellite-network measurements</x:v>
      </x:c>
      <x:c r="C47" s="290"/>
      <x:c r="D47" s="290"/>
      <x:c r="E47" s="290"/>
      <x:c r="F47" s="290"/>
    </x:row>
    <x:row r="48" ht="42" customHeight="1">
      <x:c r="A48" s="292" t="str">
        <x:v>Data / coverage</x:v>
      </x:c>
      <x:c r="B48" s="291" t="str">
        <x:v>Mobile Starlink study: latency, jitter, loss, throughput, obstruction/mobility telemetry and geographic context.</x:v>
      </x:c>
      <x:c r="C48" s="291"/>
      <x:c r="D48" s="291"/>
      <x:c r="E48" s="291"/>
      <x:c r="F48" s="291"/>
    </x:row>
    <x:row r="49" ht="42" customHeight="1">
      <x:c r="A49" s="292" t="str">
        <x:v>Verified access state</x:v>
      </x:c>
      <x:c r="B49" s="290" t="str">
        <x:v>Previously registered public Kaggle pointer; files not downloaded/validated. Confirm dataset version and terms.</x:v>
      </x:c>
      <x:c r="C49" s="290"/>
      <x:c r="D49" s="290"/>
      <x:c r="E49" s="290"/>
      <x:c r="F49" s="290"/>
    </x:row>
    <x:row r="50" ht="42" customHeight="1">
      <x:c r="A50" s="292" t="str">
        <x:v>Contact</x:v>
      </x:c>
      <x:c r="B50" s="291" t="str">
        <x:v>Nicollas Rodrigues de Oliveira — nicollas_rodrigues@id.uff.br; Diogo Menezes Ferrazani Mattos — menezes@midiacom.uff.br</x:v>
      </x:c>
      <x:c r="C50" s="291"/>
      <x:c r="D50" s="291"/>
      <x:c r="E50" s="291"/>
      <x:c r="F50" s="291"/>
    </x:row>
    <x:row r="51" ht="42" customHeight="1">
      <x:c r="A51" s="292" t="str">
        <x:v>Next step</x:v>
      </x:c>
      <x:c r="B51" s="290" t="str">
        <x:v>Request a timestamped nominal/obstructed sample and definitions enabling interruption/recovery analysis.</x:v>
      </x:c>
      <x:c r="C51" s="290"/>
      <x:c r="D51" s="290"/>
      <x:c r="E51" s="290"/>
      <x:c r="F51" s="290"/>
    </x:row>
    <x:row r="52" ht="57" customHeight="1">
      <x:c r="A52" s="292" t="str">
        <x:v>Interpretation limits</x:v>
      </x:c>
      <x:c r="B52" s="291" t="str">
        <x:v>Individual file coverage and outage definitions need inspection. Earlier review found a generic availability statement inconsistent with the paper's data link; confirm with authors.</x:v>
      </x:c>
      <x:c r="C52" s="291"/>
      <x:c r="D52" s="291"/>
      <x:c r="E52" s="291"/>
      <x:c r="F52" s="291"/>
    </x:row>
    <x:row r="53" ht="30" customHeight="1">
      <x:c r="A53" s="292" t="str">
        <x:v>Source URL 1</x:v>
      </x:c>
      <x:c r="B53" s="293" t="str">
        <x:v>https://www.kaggle.com/datasets/ferrazani/mobile-leo-satellite-access-network</x:v>
      </x:c>
      <x:c r="C53" s="293"/>
      <x:c r="D53" s="293"/>
      <x:c r="E53" s="293"/>
      <x:c r="F53" s="293"/>
    </x:row>
    <x:row r="54" ht="30" customHeight="1">
      <x:c r="A54" s="292" t="str">
        <x:v>Source URL 2</x:v>
      </x:c>
      <x:c r="B54" s="294" t="str">
        <x:v>https://doi.org/10.1007/s12243-026-01189-2</x:v>
      </x:c>
      <x:c r="C54" s="294"/>
      <x:c r="D54" s="294"/>
      <x:c r="E54" s="294"/>
      <x:c r="F54" s="294"/>
    </x:row>
    <x:row r="55" ht="30" customHeight="1">
      <x:c r="A55" s="292" t="str">
        <x:v>Source URL 3</x:v>
      </x:c>
      <x:c r="B55" s="293" t="str">
        <x:v>https://ppgeet.uff.br/index.php/docentes/</x:v>
      </x:c>
      <x:c r="C55" s="293"/>
      <x:c r="D55" s="293"/>
      <x:c r="E55" s="293"/>
      <x:c r="F55" s="293"/>
    </x:row>
    <x:row r="56">
      <x:c r="A56" s="284"/>
      <x:c r="B56" s="284"/>
      <x:c r="C56" s="284"/>
      <x:c r="D56" s="284"/>
      <x:c r="E56" s="284"/>
      <x:c r="F56" s="284"/>
    </x:row>
    <x:row r="57" ht="30" customHeight="1">
      <x:c r="A57" s="289" t="str">
        <x:v>FI-01  |  Finland — VTT / University of Oulu</x:v>
      </x:c>
      <x:c r="B57" s="289"/>
      <x:c r="C57" s="289"/>
      <x:c r="D57" s="289"/>
      <x:c r="E57" s="289"/>
      <x:c r="F57" s="289"/>
    </x:row>
    <x:row r="58" ht="42" customHeight="1">
      <x:c r="A58" s="292" t="str">
        <x:v>Evidence class</x:v>
      </x:c>
      <x:c r="B58" s="291" t="str">
        <x:v>Direct satellite-network measurements</x:v>
      </x:c>
      <x:c r="C58" s="291"/>
      <x:c r="D58" s="291"/>
      <x:c r="E58" s="291"/>
      <x:c r="F58" s="291"/>
    </x:row>
    <x:row r="59" ht="42" customHeight="1">
      <x:c r="A59" s="292" t="str">
        <x:v>Data / coverage</x:v>
      </x:c>
      <x:c r="B59" s="290" t="str">
        <x:v>Stationary and moving Starlink performance around Oulu: RTT, upload/download throughput, routing and obstruction-related outages.</x:v>
      </x:c>
      <x:c r="C59" s="290"/>
      <x:c r="D59" s="290"/>
      <x:c r="E59" s="290"/>
      <x:c r="F59" s="290"/>
    </x:row>
    <x:row r="60" ht="42" customHeight="1">
      <x:c r="A60" s="292" t="str">
        <x:v>Verified access state</x:v>
      </x:c>
      <x:c r="B60" s="291" t="str">
        <x:v>Provider-confirmed 23 Sep 2026: underlying measurement data are no longer available; the group did not save the dataset.</x:v>
      </x:c>
      <x:c r="C60" s="291"/>
      <x:c r="D60" s="291"/>
      <x:c r="E60" s="291"/>
      <x:c r="F60" s="291"/>
    </x:row>
    <x:row r="61" ht="42" customHeight="1">
      <x:c r="A61" s="292" t="str">
        <x:v>Contact</x:v>
      </x:c>
      <x:c r="B61" s="290" t="str">
        <x:v>Harri Saarnisaari — University of Oulu — substantive response received 23 Sep 2026. Prior publication contact remains historical.</x:v>
      </x:c>
      <x:c r="C61" s="290"/>
      <x:c r="D61" s="290"/>
      <x:c r="E61" s="290"/>
      <x:c r="F61" s="290"/>
    </x:row>
    <x:row r="62" ht="42" customHeight="1">
      <x:c r="A62" s="292" t="str">
        <x:v>Next step</x:v>
      </x:c>
      <x:c r="B62" s="291" t="str">
        <x:v>Close this acquisition lead. Retain the published paper for literature/context only; do not treat it as a downloadable empirical DES source.</x:v>
      </x:c>
      <x:c r="C62" s="291"/>
      <x:c r="D62" s="291"/>
      <x:c r="E62" s="291"/>
      <x:c r="F62" s="291"/>
    </x:row>
    <x:row r="63" ht="42" customHeight="1">
      <x:c r="A63" s="292" t="str">
        <x:v>Interpretation limits</x:v>
      </x:c>
      <x:c r="B63" s="290" t="str">
        <x:v>The published study documents measured Starlink behavior, but no numerical archive/sample is available from the contacted source. No data-fit claim.</x:v>
      </x:c>
      <x:c r="C63" s="290"/>
      <x:c r="D63" s="290"/>
      <x:c r="E63" s="290"/>
      <x:c r="F63" s="290"/>
    </x:row>
    <x:row r="64" ht="30" customHeight="1">
      <x:c r="A64" s="292" t="str">
        <x:v>Source URL 1</x:v>
      </x:c>
      <x:c r="B64" s="294" t="str">
        <x:v>https://oulurepo.oulu.fi/handle/10024/58511</x:v>
      </x:c>
      <x:c r="C64" s="294"/>
      <x:c r="D64" s="294"/>
      <x:c r="E64" s="294"/>
      <x:c r="F64" s="294"/>
    </x:row>
    <x:row r="65">
      <x:c r="A65" s="284"/>
      <x:c r="B65" s="284"/>
      <x:c r="C65" s="284"/>
      <x:c r="D65" s="284"/>
      <x:c r="E65" s="284"/>
      <x:c r="F65" s="284"/>
    </x:row>
    <x:row r="66" ht="30" customHeight="1">
      <x:c r="A66" s="289" t="str">
        <x:v>LK-01  |  Sri Lanka — Lanka Education and Research Network (LEARN)</x:v>
      </x:c>
      <x:c r="B66" s="289"/>
      <x:c r="C66" s="289"/>
      <x:c r="D66" s="289"/>
      <x:c r="E66" s="289"/>
      <x:c r="F66" s="289"/>
    </x:row>
    <x:row r="67" ht="42" customHeight="1">
      <x:c r="A67" s="292" t="str">
        <x:v>Evidence class</x:v>
      </x:c>
      <x:c r="B67" s="290" t="str">
        <x:v>Terrestrial academic-network measurements</x:v>
      </x:c>
      <x:c r="C67" s="290"/>
      <x:c r="D67" s="290"/>
      <x:c r="E67" s="290"/>
      <x:c r="F67" s="290"/>
    </x:row>
    <x:row r="68" ht="42" customHeight="1">
      <x:c r="A68" s="292" t="str">
        <x:v>Data / coverage</x:v>
      </x:c>
      <x:c r="B68" s="291" t="str">
        <x:v>Official network page links to perfSONAR and public SmokePing monitoring of academic links.</x:v>
      </x:c>
      <x:c r="C68" s="291"/>
      <x:c r="D68" s="291"/>
      <x:c r="E68" s="291"/>
      <x:c r="F68" s="291"/>
    </x:row>
    <x:row r="69" ht="42" customHeight="1">
      <x:c r="A69" s="292" t="str">
        <x:v>Verified access state</x:v>
      </x:c>
      <x:c r="B69" s="290" t="str">
        <x:v>Measurement/monitoring interfaces verified; bulk historical numerical export and retention not confirmed.</x:v>
      </x:c>
      <x:c r="C69" s="290"/>
      <x:c r="D69" s="290"/>
      <x:c r="E69" s="290"/>
      <x:c r="F69" s="290"/>
    </x:row>
    <x:row r="70" ht="42" customHeight="1">
      <x:c r="A70" s="292" t="str">
        <x:v>Contact</x:v>
      </x:c>
      <x:c r="B70" s="291" t="str">
        <x:v>LEARN — learn@learn.ac.lk</x:v>
      </x:c>
      <x:c r="C70" s="291"/>
      <x:c r="D70" s="291"/>
      <x:c r="E70" s="291"/>
      <x:c r="F70" s="291"/>
    </x:row>
    <x:row r="71" ht="42" customHeight="1">
      <x:c r="A71" s="292" t="str">
        <x:v>Next step</x:v>
      </x:c>
      <x:c r="B71" s="290" t="str">
        <x:v>Request timestamped historical RTT/loss/delay-variation exports, endpoint/cadence definitions, failure/restoration logs and missing-probe conventions.</x:v>
      </x:c>
      <x:c r="C71" s="290"/>
      <x:c r="D71" s="290"/>
      <x:c r="E71" s="290"/>
      <x:c r="F71" s="290"/>
    </x:row>
    <x:row r="72" ht="42" customHeight="1">
      <x:c r="A72" s="292" t="str">
        <x:v>Interpretation limits</x:v>
      </x:c>
      <x:c r="B72" s="291" t="str">
        <x:v>Useful ground-network analogue, not an orbital dataset. A graph or SLA is not a raw time series.</x:v>
      </x:c>
      <x:c r="C72" s="291"/>
      <x:c r="D72" s="291"/>
      <x:c r="E72" s="291"/>
      <x:c r="F72" s="291"/>
    </x:row>
    <x:row r="73" ht="30" customHeight="1">
      <x:c r="A73" s="292" t="str">
        <x:v>Source URL 1</x:v>
      </x:c>
      <x:c r="B73" s="293" t="str">
        <x:v>https://www.ac.lk/network</x:v>
      </x:c>
      <x:c r="C73" s="293"/>
      <x:c r="D73" s="293"/>
      <x:c r="E73" s="293"/>
      <x:c r="F73" s="293"/>
    </x:row>
    <x:row r="74" ht="30" customHeight="1">
      <x:c r="A74" s="292" t="str">
        <x:v>Source URL 2</x:v>
      </x:c>
      <x:c r="B74" s="294" t="str">
        <x:v>https://ps.ac.lk/toolkit/</x:v>
      </x:c>
      <x:c r="C74" s="294"/>
      <x:c r="D74" s="294"/>
      <x:c r="E74" s="294"/>
      <x:c r="F74" s="294"/>
    </x:row>
    <x:row r="75" ht="30" customHeight="1">
      <x:c r="A75" s="292" t="str">
        <x:v>Source URL 3</x:v>
      </x:c>
      <x:c r="B75" s="293" t="str">
        <x:v>https://smokeping.learn.ac.lk/smokeping/smokeping.fcgi?target=Access</x:v>
      </x:c>
      <x:c r="C75" s="293"/>
      <x:c r="D75" s="293"/>
      <x:c r="E75" s="293"/>
      <x:c r="F75" s="293"/>
    </x:row>
    <x:row r="76">
      <x:c r="A76" s="284"/>
      <x:c r="B76" s="284"/>
      <x:c r="C76" s="284"/>
      <x:c r="D76" s="284"/>
      <x:c r="E76" s="284"/>
      <x:c r="F76" s="284"/>
    </x:row>
    <x:row r="77" ht="30" customHeight="1">
      <x:c r="A77" s="289" t="str">
        <x:v>IN-01  |  India — Indian Institute of Geomagnetism / WDC Mumbai</x:v>
      </x:c>
      <x:c r="B77" s="289"/>
      <x:c r="C77" s="289"/>
      <x:c r="D77" s="289"/>
      <x:c r="E77" s="289"/>
      <x:c r="F77" s="289"/>
    </x:row>
    <x:row r="78" ht="42" customHeight="1">
      <x:c r="A78" s="292" t="str">
        <x:v>Evidence class</x:v>
      </x:c>
      <x:c r="B78" s="291" t="str">
        <x:v>Geomagnetic environmental observations</x:v>
      </x:c>
      <x:c r="C78" s="291"/>
      <x:c r="D78" s="291"/>
      <x:c r="E78" s="291"/>
      <x:c r="F78" s="291"/>
    </x:row>
    <x:row r="79" ht="42" customHeight="1">
      <x:c r="A79" s="292" t="str">
        <x:v>Data / coverage</x:v>
      </x:c>
      <x:c r="B79" s="290" t="str">
        <x:v>Archive of hourly and one-minute geomagnetic data; IIG lists Indian observatories including Port Blair in the Andaman Islands.</x:v>
      </x:c>
      <x:c r="C79" s="290"/>
      <x:c r="D79" s="290"/>
      <x:c r="E79" s="290"/>
      <x:c r="F79" s="290"/>
    </x:row>
    <x:row r="80" ht="42" customHeight="1">
      <x:c r="A80" s="292" t="str">
        <x:v>Verified access state</x:v>
      </x:c>
      <x:c r="B80" s="291" t="str">
        <x:v>Institutional scientific-data archive and access policy verified; station/period files not sampled.</x:v>
      </x:c>
      <x:c r="C80" s="291"/>
      <x:c r="D80" s="291"/>
      <x:c r="E80" s="291"/>
      <x:c r="F80" s="291"/>
    </x:row>
    <x:row r="81" ht="42" customHeight="1">
      <x:c r="A81" s="292" t="str">
        <x:v>Contact</x:v>
      </x:c>
      <x:c r="B81" s="290" t="str">
        <x:v>Mahendra G. Doiphode — mahendra.d@iigm.res.in</x:v>
      </x:c>
      <x:c r="C81" s="290"/>
      <x:c r="D81" s="290"/>
      <x:c r="E81" s="290"/>
      <x:c r="F81" s="290"/>
    </x:row>
    <x:row r="82" ht="42" customHeight="1">
      <x:c r="A82" s="292" t="str">
        <x:v>Next step</x:v>
      </x:c>
      <x:c r="B82" s="291" t="str">
        <x:v>Request one quiet/disturbed one-minute sample, station metadata, definitive/provisional flags, timestamps and citation rules.</x:v>
      </x:c>
      <x:c r="C82" s="291"/>
      <x:c r="D82" s="291"/>
      <x:c r="E82" s="291"/>
      <x:c r="F82" s="291"/>
    </x:row>
    <x:row r="83" ht="42" customHeight="1">
      <x:c r="A83" s="292" t="str">
        <x:v>Interpretation limits</x:v>
      </x:c>
      <x:c r="B83" s="290" t="str">
        <x:v>Magnetic observations are not direct network performance. Historical analogue records require different treatment from modern numerical data.</x:v>
      </x:c>
      <x:c r="C83" s="290"/>
      <x:c r="D83" s="290"/>
      <x:c r="E83" s="290"/>
      <x:c r="F83" s="290"/>
    </x:row>
    <x:row r="84" ht="30" customHeight="1">
      <x:c r="A84" s="292" t="str">
        <x:v>Source URL 1</x:v>
      </x:c>
      <x:c r="B84" s="294" t="str">
        <x:v>https://wdc.iigm.res.in/</x:v>
      </x:c>
      <x:c r="C84" s="294"/>
      <x:c r="D84" s="294"/>
      <x:c r="E84" s="294"/>
      <x:c r="F84" s="294"/>
    </x:row>
    <x:row r="85" ht="30" customHeight="1">
      <x:c r="A85" s="292" t="str">
        <x:v>Source URL 2</x:v>
      </x:c>
      <x:c r="B85" s="293" t="str">
        <x:v>https://www.iigm.res.in/facilities-service-corners/world-data-centre</x:v>
      </x:c>
      <x:c r="C85" s="293"/>
      <x:c r="D85" s="293"/>
      <x:c r="E85" s="293"/>
      <x:c r="F85" s="293"/>
    </x:row>
    <x:row r="86" ht="30" customHeight="1">
      <x:c r="A86" s="292" t="str">
        <x:v>Source URL 3</x:v>
      </x:c>
      <x:c r="B86" s="294" t="str">
        <x:v>https://iigm.res.in/content/mr-mahendra-g-doiphode</x:v>
      </x:c>
      <x:c r="C86" s="294"/>
      <x:c r="D86" s="294"/>
      <x:c r="E86" s="294"/>
      <x:c r="F86" s="294"/>
    </x:row>
    <x:row r="87" ht="30" customHeight="1">
      <x:c r="A87" s="292" t="str">
        <x:v>Source URL 4</x:v>
      </x:c>
      <x:c r="B87" s="293" t="str">
        <x:v>https://iigm.res.in/content/observatories-data-analysis</x:v>
      </x:c>
      <x:c r="C87" s="293"/>
      <x:c r="D87" s="293"/>
      <x:c r="E87" s="293"/>
      <x:c r="F87" s="293"/>
    </x:row>
    <x:row r="88">
      <x:c r="A88" s="284"/>
      <x:c r="B88" s="284"/>
      <x:c r="C88" s="284"/>
      <x:c r="D88" s="284"/>
      <x:c r="E88" s="284"/>
      <x:c r="F88" s="284"/>
    </x:row>
    <x:row r="89" ht="30" customHeight="1">
      <x:c r="A89" s="289" t="str">
        <x:v>IN-02  |  India — Kolkata-area research observatory / VLF study</x:v>
      </x:c>
      <x:c r="B89" s="289"/>
      <x:c r="C89" s="289"/>
      <x:c r="D89" s="289"/>
      <x:c r="E89" s="289"/>
      <x:c r="F89" s="289"/>
    </x:row>
    <x:row r="90" ht="42" customHeight="1">
      <x:c r="A90" s="292" t="str">
        <x:v>Evidence class</x:v>
      </x:c>
      <x:c r="B90" s="291" t="str">
        <x:v>Measured radio-propagation disturbance</x:v>
      </x:c>
      <x:c r="C90" s="291"/>
      <x:c r="D90" s="291"/>
      <x:c r="E90" s="291"/>
      <x:c r="F90" s="291"/>
    </x:row>
    <x:row r="91" ht="42" customHeight="1">
      <x:c r="A91" s="292" t="str">
        <x:v>Data / coverage</x:v>
      </x:c>
      <x:c r="B91" s="290" t="str">
        <x:v>December 26, 2019 eclipse dataset: VLF amplitude versus UT at receiver sites, with quiet/reference observations. DOI 10.17632/npygym5sf6.1.</x:v>
      </x:c>
      <x:c r="C91" s="290"/>
      <x:c r="D91" s="290"/>
      <x:c r="E91" s="290"/>
      <x:c r="F91" s="290"/>
    </x:row>
    <x:row r="92" ht="42" customHeight="1">
      <x:c r="A92" s="292" t="str">
        <x:v>Verified access state</x:v>
      </x:c>
      <x:c r="B92" s="291" t="str">
        <x:v>Public Mendeley dataset record with Download All and CC BY 4.0 metadata verified; files not inspected.</x:v>
      </x:c>
      <x:c r="C92" s="291"/>
      <x:c r="D92" s="291"/>
      <x:c r="E92" s="291"/>
      <x:c r="F92" s="291"/>
    </x:row>
    <x:row r="93" ht="42" customHeight="1">
      <x:c r="A93" s="292" t="str">
        <x:v>Contact</x:v>
      </x:c>
      <x:c r="B93" s="290" t="str"/>
      <x:c r="C93" s="290"/>
      <x:c r="D93" s="290"/>
      <x:c r="E93" s="290"/>
      <x:c r="F93" s="290"/>
    </x:row>
    <x:row r="94" ht="42" customHeight="1">
      <x:c r="A94" s="292" t="str">
        <x:v>Next step</x:v>
      </x:c>
      <x:c r="B94" s="291" t="str">
        <x:v>Download a receiver sample; preserve transmitting frequency, location, time and reference definition.</x:v>
      </x:c>
      <x:c r="C94" s="291"/>
      <x:c r="D94" s="291"/>
      <x:c r="E94" s="291"/>
      <x:c r="F94" s="291"/>
    </x:row>
    <x:row r="95" ht="42" customHeight="1">
      <x:c r="A95" s="292" t="str">
        <x:v>Interpretation limits</x:v>
      </x:c>
      <x:c r="B95" s="290" t="str">
        <x:v>VLF amplitude is not Internet delay and is not directly transferable as attenuation of a satellite microwave link.</x:v>
      </x:c>
      <x:c r="C95" s="290"/>
      <x:c r="D95" s="290"/>
      <x:c r="E95" s="290"/>
      <x:c r="F95" s="290"/>
    </x:row>
    <x:row r="96" ht="30" customHeight="1">
      <x:c r="A96" s="292" t="str">
        <x:v>Source URL 1</x:v>
      </x:c>
      <x:c r="B96" s="294" t="str">
        <x:v>https://data.mendeley.com/datasets/npygym5sf6/1</x:v>
      </x:c>
      <x:c r="C96" s="294"/>
      <x:c r="D96" s="294"/>
      <x:c r="E96" s="294"/>
      <x:c r="F96" s="294"/>
    </x:row>
    <x:row r="97">
      <x:c r="A97" s="284"/>
      <x:c r="B97" s="284"/>
      <x:c r="C97" s="284"/>
      <x:c r="D97" s="284"/>
      <x:c r="E97" s="284"/>
      <x:c r="F97" s="284"/>
    </x:row>
    <x:row r="98" ht="30" customHeight="1">
      <x:c r="A98" s="289" t="str">
        <x:v>BD-01  |  Bangladesh — Bangladesh Research and Education Network (BdREN)</x:v>
      </x:c>
      <x:c r="B98" s="289"/>
      <x:c r="C98" s="289"/>
      <x:c r="D98" s="289"/>
      <x:c r="E98" s="289"/>
      <x:c r="F98" s="289"/>
    </x:row>
    <x:row r="99" ht="42" customHeight="1">
      <x:c r="A99" s="292" t="str">
        <x:v>Evidence class</x:v>
      </x:c>
      <x:c r="B99" s="290" t="str">
        <x:v>Academic network / data-holder inquiry</x:v>
      </x:c>
      <x:c r="C99" s="290"/>
      <x:c r="D99" s="290"/>
      <x:c r="E99" s="290"/>
      <x:c r="F99" s="290"/>
    </x:row>
    <x:row r="100" ht="42" customHeight="1">
      <x:c r="A100" s="292" t="str">
        <x:v>Data / coverage</x:v>
      </x:c>
      <x:c r="B100" s="291" t="str">
        <x:v>BdREN publishes network service-quality measures and contact routes; suitable holder to ask about operational telemetry.</x:v>
      </x:c>
      <x:c r="C100" s="291"/>
      <x:c r="D100" s="291"/>
      <x:c r="E100" s="291"/>
      <x:c r="F100" s="291"/>
    </x:row>
    <x:row r="101" ht="42" customHeight="1">
      <x:c r="A101" s="292" t="str">
        <x:v>Verified access state</x:v>
      </x:c>
      <x:c r="B101" s="290" t="str">
        <x:v>Contact/service description verified. Public historical raw latency/outage dataset not established.</x:v>
      </x:c>
      <x:c r="C101" s="290"/>
      <x:c r="D101" s="290"/>
      <x:c r="E101" s="290"/>
      <x:c r="F101" s="290"/>
    </x:row>
    <x:row r="102" ht="42" customHeight="1">
      <x:c r="A102" s="292" t="str">
        <x:v>Contact</x:v>
      </x:c>
      <x:c r="B102" s="291" t="str">
        <x:v>Network Operations Centre — noc@bdren.net.bd</x:v>
      </x:c>
      <x:c r="C102" s="291"/>
      <x:c r="D102" s="291"/>
      <x:c r="E102" s="291"/>
      <x:c r="F102" s="291"/>
    </x:row>
    <x:row r="103" ht="42" customHeight="1">
      <x:c r="A103" s="292" t="str">
        <x:v>Next step</x:v>
      </x:c>
      <x:c r="B103" s="290" t="str">
        <x:v>Ask for publicly shareable/anonymized observed RTT, loss, outages, restoration and monitoring-cadence records.</x:v>
      </x:c>
      <x:c r="C103" s="290"/>
      <x:c r="D103" s="290"/>
      <x:c r="E103" s="290"/>
      <x:c r="F103" s="290"/>
    </x:row>
    <x:row r="104" ht="42" customHeight="1">
      <x:c r="A104" s="292" t="str">
        <x:v>Interpretation limits</x:v>
      </x:c>
      <x:c r="B104" s="291" t="str">
        <x:v>Published latency, jitter and availability commitments are targets, not observed histories.</x:v>
      </x:c>
      <x:c r="C104" s="291"/>
      <x:c r="D104" s="291"/>
      <x:c r="E104" s="291"/>
      <x:c r="F104" s="291"/>
    </x:row>
    <x:row r="105" ht="30" customHeight="1">
      <x:c r="A105" s="292" t="str">
        <x:v>Source URL 1</x:v>
      </x:c>
      <x:c r="B105" s="293" t="str">
        <x:v>https://bdren.net.bd/contact</x:v>
      </x:c>
      <x:c r="C105" s="293"/>
      <x:c r="D105" s="293"/>
      <x:c r="E105" s="293"/>
      <x:c r="F105" s="293"/>
    </x:row>
    <x:row r="106" ht="30" customHeight="1">
      <x:c r="A106" s="292" t="str">
        <x:v>Source URL 2</x:v>
      </x:c>
      <x:c r="B106" s="294" t="str">
        <x:v>https://www.bdren.net.bd/service/quality-service</x:v>
      </x:c>
      <x:c r="C106" s="294"/>
      <x:c r="D106" s="294"/>
      <x:c r="E106" s="294"/>
      <x:c r="F106" s="294"/>
    </x:row>
    <x:row r="107">
      <x:c r="A107" s="284"/>
      <x:c r="B107" s="284"/>
      <x:c r="C107" s="284"/>
      <x:c r="D107" s="284"/>
      <x:c r="E107" s="284"/>
      <x:c r="F107" s="284"/>
    </x:row>
    <x:row r="108" ht="30" customHeight="1">
      <x:c r="A108" s="289" t="str">
        <x:v>BD-02  |  Bangladesh / global — IODA and OONI</x:v>
      </x:c>
      <x:c r="B108" s="289"/>
      <x:c r="C108" s="289"/>
      <x:c r="D108" s="289"/>
      <x:c r="E108" s="289"/>
      <x:c r="F108" s="289"/>
    </x:row>
    <x:row r="109" ht="42" customHeight="1">
      <x:c r="A109" s="292" t="str">
        <x:v>Evidence class</x:v>
      </x:c>
      <x:c r="B109" s="290" t="str">
        <x:v>Observed Internet disruption / reachability evidence</x:v>
      </x:c>
      <x:c r="C109" s="290"/>
      <x:c r="D109" s="290"/>
      <x:c r="E109" s="290"/>
      <x:c r="F109" s="290"/>
    </x:row>
    <x:row r="110" ht="42" customHeight="1">
      <x:c r="A110" s="292" t="str">
        <x:v>Data / coverage</x:v>
      </x:c>
      <x:c r="B110" s="291" t="str">
        <x:v>IODA supports country/region/ASN outage monitoring; OONI publishes Bangladesh network-test observations and dated disruption/blocking findings.</x:v>
      </x:c>
      <x:c r="C110" s="291"/>
      <x:c r="D110" s="291"/>
      <x:c r="E110" s="291"/>
      <x:c r="F110" s="291"/>
    </x:row>
    <x:row r="111" ht="42" customHeight="1">
      <x:c r="A111" s="292" t="str">
        <x:v>Verified access state</x:v>
      </x:c>
      <x:c r="B111" s="290" t="str">
        <x:v>Public measurement/analysis routes verified; extract selection and completeness screening remain open.</x:v>
      </x:c>
      <x:c r="C111" s="290"/>
      <x:c r="D111" s="290"/>
      <x:c r="E111" s="290"/>
      <x:c r="F111" s="290"/>
    </x:row>
    <x:row r="112" ht="42" customHeight="1">
      <x:c r="A112" s="292" t="str">
        <x:v>Contact</x:v>
      </x:c>
      <x:c r="B112" s="291" t="str"/>
      <x:c r="C112" s="291"/>
      <x:c r="D112" s="291"/>
      <x:c r="E112" s="291"/>
      <x:c r="F112" s="291"/>
    </x:row>
    <x:row r="113" ht="42" customHeight="1">
      <x:c r="A113" s="292" t="str">
        <x:v>Next step</x:v>
      </x:c>
      <x:c r="B113" s="290" t="str">
        <x:v>Select documented event + baseline windows; export underlying signal/measurement records with network IDs and timestamps.</x:v>
      </x:c>
      <x:c r="C113" s="290"/>
      <x:c r="D113" s="290"/>
      <x:c r="E113" s="290"/>
      <x:c r="F113" s="290"/>
    </x:row>
    <x:row r="114" ht="42" customHeight="1">
      <x:c r="A114" s="292" t="str">
        <x:v>Interpretation limits</x:v>
      </x:c>
      <x:c r="B114" s="291" t="str">
        <x:v>Country-level outage signals and website-specific failures are not terminal uptime or satellite RTT. Causes such as blocking differ from weather-driven physical outages.</x:v>
      </x:c>
      <x:c r="C114" s="291"/>
      <x:c r="D114" s="291"/>
      <x:c r="E114" s="291"/>
      <x:c r="F114" s="291"/>
    </x:row>
    <x:row r="115" ht="30" customHeight="1">
      <x:c r="A115" s="292" t="str">
        <x:v>Source URL 1</x:v>
      </x:c>
      <x:c r="B115" s="293" t="str">
        <x:v>https://ioda.inetintel.cc.gatech.edu/about</x:v>
      </x:c>
      <x:c r="C115" s="293"/>
      <x:c r="D115" s="293"/>
      <x:c r="E115" s="293"/>
      <x:c r="F115" s="293"/>
    </x:row>
    <x:row r="116" ht="30" customHeight="1">
      <x:c r="A116" s="292" t="str">
        <x:v>Source URL 2</x:v>
      </x:c>
      <x:c r="B116" s="294" t="str">
        <x:v>https://explorer.ooni.org/findings/2024-bangladesh-blocked-facebook-amid-student-protests</x:v>
      </x:c>
      <x:c r="C116" s="294"/>
      <x:c r="D116" s="294"/>
      <x:c r="E116" s="294"/>
      <x:c r="F116" s="294"/>
    </x:row>
    <x:row r="117">
      <x:c r="A117" s="284"/>
      <x:c r="B117" s="284"/>
      <x:c r="C117" s="284"/>
      <x:c r="D117" s="284"/>
      <x:c r="E117" s="284"/>
      <x:c r="F117" s="284"/>
    </x:row>
    <x:row r="118" ht="30" customHeight="1">
      <x:c r="A118" s="289" t="str">
        <x:v>TDC-01  |  Tristan da Cunha — GFZ / INTERMAGNET / NASA SPDF</x:v>
      </x:c>
      <x:c r="B118" s="289"/>
      <x:c r="C118" s="289"/>
      <x:c r="D118" s="289"/>
      <x:c r="E118" s="289"/>
      <x:c r="F118" s="289"/>
    </x:row>
    <x:row r="119" ht="42" customHeight="1">
      <x:c r="A119" s="292" t="str">
        <x:v>Evidence class</x:v>
      </x:c>
      <x:c r="B119" s="290" t="str">
        <x:v>Remote-island geomagnetic observations</x:v>
      </x:c>
      <x:c r="C119" s="290"/>
      <x:c r="D119" s="290"/>
      <x:c r="E119" s="290"/>
      <x:c r="F119" s="290"/>
    </x:row>
    <x:row r="120" ht="42" customHeight="1">
      <x:c r="A120" s="292" t="str">
        <x:v>Data / coverage</x:v>
      </x:c>
      <x:c r="B120" s="291" t="str">
        <x:v>Tristan da Cunha observatory data; NASA catalogue identifies TDC vector magnetic-field L2 one-minute data (DOI 10.48322/m7cj-rz83).</x:v>
      </x:c>
      <x:c r="C120" s="291"/>
      <x:c r="D120" s="291"/>
      <x:c r="E120" s="291"/>
      <x:c r="F120" s="291"/>
    </x:row>
    <x:row r="121" ht="42" customHeight="1">
      <x:c r="A121" s="292" t="str">
        <x:v>Verified access state</x:v>
      </x:c>
      <x:c r="B121" s="290" t="str">
        <x:v>Public dataset catalogue and INTERMAGNET access route verified; specific date sample not downloaded.</x:v>
      </x:c>
      <x:c r="C121" s="290"/>
      <x:c r="D121" s="290"/>
      <x:c r="E121" s="290"/>
      <x:c r="F121" s="290"/>
    </x:row>
    <x:row r="122" ht="42" customHeight="1">
      <x:c r="A122" s="292" t="str">
        <x:v>Contact</x:v>
      </x:c>
      <x:c r="B122" s="291" t="str"/>
      <x:c r="C122" s="291"/>
      <x:c r="D122" s="291"/>
      <x:c r="E122" s="291"/>
      <x:c r="F122" s="291"/>
    </x:row>
    <x:row r="123" ht="42" customHeight="1">
      <x:c r="A123" s="292" t="str">
        <x:v>Next step</x:v>
      </x:c>
      <x:c r="B123" s="290" t="str">
        <x:v>Retrieve one-minute vectors for a chosen event and confirm units, quality level and provider acknowledgment.</x:v>
      </x:c>
      <x:c r="C123" s="290"/>
      <x:c r="D123" s="290"/>
      <x:c r="E123" s="290"/>
      <x:c r="F123" s="290"/>
    </x:row>
    <x:row r="124" ht="42" customHeight="1">
      <x:c r="A124" s="292" t="str">
        <x:v>Interpretation limits</x:v>
      </x:c>
      <x:c r="B124" s="291" t="str">
        <x:v>Excellent remote environmental source, not direct island internet or satellite-link performance.</x:v>
      </x:c>
      <x:c r="C124" s="291"/>
      <x:c r="D124" s="291"/>
      <x:c r="E124" s="291"/>
      <x:c r="F124" s="291"/>
    </x:row>
    <x:row r="125" ht="30" customHeight="1">
      <x:c r="A125" s="292" t="str">
        <x:v>Source URL 1</x:v>
      </x:c>
      <x:c r="B125" s="293" t="str">
        <x:v>https://www.gfz.de/en/section/geomagnetism/infrastructure/geomagnetic-observatories/tristan-da-cunha</x:v>
      </x:c>
      <x:c r="C125" s="293"/>
      <x:c r="D125" s="293"/>
      <x:c r="E125" s="293"/>
      <x:c r="F125" s="293"/>
    </x:row>
    <x:row r="126" ht="30" customHeight="1">
      <x:c r="A126" s="292" t="str">
        <x:v>Source URL 2</x:v>
      </x:c>
      <x:c r="B126" s="294" t="str">
        <x:v>https://catalog.data.gov/dataset/tristan-da-cunha-tdc-ground-based-vector-magnetic-field-l2-1-0-min-data</x:v>
      </x:c>
      <x:c r="C126" s="294"/>
      <x:c r="D126" s="294"/>
      <x:c r="E126" s="294"/>
      <x:c r="F126" s="294"/>
    </x:row>
    <x:row r="127" ht="30" customHeight="1">
      <x:c r="A127" s="292" t="str">
        <x:v>Source URL 3</x:v>
      </x:c>
      <x:c r="B127" s="293" t="str">
        <x:v>https://imag-data.bgs.ac.uk/GIN_V1/GINServices?Request=GetCapabilities&amp;format=html</x:v>
      </x:c>
      <x:c r="C127" s="293"/>
      <x:c r="D127" s="293"/>
      <x:c r="E127" s="293"/>
      <x:c r="F127" s="293"/>
    </x:row>
    <x:row r="128">
      <x:c r="A128" s="284"/>
      <x:c r="B128" s="284"/>
      <x:c r="C128" s="284"/>
      <x:c r="D128" s="284"/>
      <x:c r="E128" s="284"/>
      <x:c r="F128" s="284"/>
    </x:row>
    <x:row r="129" ht="30" customHeight="1">
      <x:c r="A129" s="289" t="str">
        <x:v>ISL-01  |  Christmas Island / Kiritimati — historical ionospheric archives</x:v>
      </x:c>
      <x:c r="B129" s="289"/>
      <x:c r="C129" s="289"/>
      <x:c r="D129" s="289"/>
      <x:c r="E129" s="289"/>
      <x:c r="F129" s="289"/>
    </x:row>
    <x:row r="130" ht="42" customHeight="1">
      <x:c r="A130" s="292" t="str">
        <x:v>Evidence class</x:v>
      </x:c>
      <x:c r="B130" s="291" t="str">
        <x:v>Historical ionospheric parameters / medians</x:v>
      </x:c>
      <x:c r="C130" s="291"/>
      <x:c r="D130" s="291"/>
      <x:c r="E130" s="291"/>
      <x:c r="F130" s="291"/>
    </x:row>
    <x:row r="131" ht="42" customHeight="1">
      <x:c r="A131" s="292" t="str">
        <x:v>Data / coverage</x:v>
      </x:c>
      <x:c r="B131" s="290" t="str">
        <x:v>BoM historical station catalogue includes CHRISTMAS ISLAND at Pacific coordinates corresponding to Kiritimati, not Australia's Indian Ocean territory.</x:v>
      </x:c>
      <x:c r="C131" s="290"/>
      <x:c r="D131" s="290"/>
      <x:c r="E131" s="290"/>
      <x:c r="F131" s="290"/>
    </x:row>
    <x:row r="132" ht="42" customHeight="1">
      <x:c r="A132" s="292" t="str">
        <x:v>Verified access state</x:v>
      </x:c>
      <x:c r="B132" s="291" t="str">
        <x:v>Historical catalogue verified; exact station/year product availability not yet inspected.</x:v>
      </x:c>
      <x:c r="C132" s="291"/>
      <x:c r="D132" s="291"/>
      <x:c r="E132" s="291"/>
      <x:c r="F132" s="291"/>
    </x:row>
    <x:row r="133" ht="42" customHeight="1">
      <x:c r="A133" s="292" t="str">
        <x:v>Contact</x:v>
      </x:c>
      <x:c r="B133" s="290" t="str">
        <x:v>Existing ASWFC contact route — ASWFC@bom.gov.au</x:v>
      </x:c>
      <x:c r="C133" s="290"/>
      <x:c r="D133" s="290"/>
      <x:c r="E133" s="290"/>
      <x:c r="F133" s="290"/>
    </x:row>
    <x:row r="134" ht="42" customHeight="1">
      <x:c r="A134" s="292" t="str">
        <x:v>Next step</x:v>
      </x:c>
      <x:c r="B134" s="291" t="str">
        <x:v>Disambiguate island by coordinates; request available numerical station files, years and cadence.</x:v>
      </x:c>
      <x:c r="C134" s="291"/>
      <x:c r="D134" s="291"/>
      <x:c r="E134" s="291"/>
      <x:c r="F134" s="291"/>
    </x:row>
    <x:row r="135" ht="42" customHeight="1">
      <x:c r="A135" s="292" t="str">
        <x:v>Interpretation limits</x:v>
      </x:c>
      <x:c r="B135" s="290" t="str">
        <x:v>Monthly medians cannot reconstruct event-level outages. No open direct network-performance dataset for either Christmas Island was verified.</x:v>
      </x:c>
      <x:c r="C135" s="290"/>
      <x:c r="D135" s="290"/>
      <x:c r="E135" s="290"/>
      <x:c r="F135" s="290"/>
    </x:row>
    <x:row r="136" ht="30" customHeight="1">
      <x:c r="A136" s="292" t="str">
        <x:v>Source URL 1</x:v>
      </x:c>
      <x:c r="B136" s="294" t="str">
        <x:v>https://www.sws.bom.gov.au/World_Data_Centre/2/8/2</x:v>
      </x:c>
      <x:c r="C136" s="294"/>
      <x:c r="D136" s="294"/>
      <x:c r="E136" s="294"/>
      <x:c r="F136" s="294"/>
    </x:row>
    <x:row r="137" ht="30" customHeight="1">
      <x:c r="A137" s="292" t="str">
        <x:v>Source URL 2</x:v>
      </x:c>
      <x:c r="B137" s="293" t="str">
        <x:v>https://www.sws.bom.gov.au/World_Data_Centre/1/3</x:v>
      </x:c>
      <x:c r="C137" s="293"/>
      <x:c r="D137" s="293"/>
      <x:c r="E137" s="293"/>
      <x:c r="F137" s="293"/>
    </x:row>
    <x:row r="138">
      <x:c r="A138" s="284"/>
      <x:c r="B138" s="284"/>
      <x:c r="C138" s="284"/>
      <x:c r="D138" s="284"/>
      <x:c r="E138" s="284"/>
      <x:c r="F138" s="284"/>
    </x:row>
    <x:row r="139" ht="30" customHeight="1">
      <x:c r="A139" s="289" t="str">
        <x:v>CW-01  |  Canada / historical space research — Alouette and ISIS (NASA archive)</x:v>
      </x:c>
      <x:c r="B139" s="289"/>
      <x:c r="C139" s="289"/>
      <x:c r="D139" s="289"/>
      <x:c r="E139" s="289"/>
      <x:c r="F139" s="289"/>
    </x:row>
    <x:row r="140" ht="42" customHeight="1">
      <x:c r="A140" s="292" t="str">
        <x:v>Evidence class</x:v>
      </x:c>
      <x:c r="B140" s="291" t="str">
        <x:v>Digitized analogue-era ionospheric satellite data</x:v>
      </x:c>
      <x:c r="C140" s="291"/>
      <x:c r="D140" s="291"/>
      <x:c r="E140" s="291"/>
      <x:c r="F140" s="291"/>
    </x:row>
    <x:row r="141" ht="42" customHeight="1">
      <x:c r="A141" s="292" t="str">
        <x:v>Data / coverage</x:v>
      </x:c>
      <x:c r="B141" s="290" t="str">
        <x:v>Restored topside ionograms, electron-density profiles and supporting software. Alouette-1 catalogue includes manually scaled 1960s profiles.</x:v>
      </x:c>
      <x:c r="C141" s="290"/>
      <x:c r="D141" s="290"/>
      <x:c r="E141" s="290"/>
      <x:c r="F141" s="290"/>
    </x:row>
    <x:row r="142" ht="42" customHeight="1">
      <x:c r="A142" s="292" t="str">
        <x:v>Verified access state</x:v>
      </x:c>
      <x:c r="B142" s="291" t="str">
        <x:v>Public restoration/data-access documentation verified; not all historical missions/years are digitized or complete.</x:v>
      </x:c>
      <x:c r="C142" s="291"/>
      <x:c r="D142" s="291"/>
      <x:c r="E142" s="291"/>
      <x:c r="F142" s="291"/>
    </x:row>
    <x:row r="143" ht="42" customHeight="1">
      <x:c r="A143" s="292" t="str">
        <x:v>Contact</x:v>
      </x:c>
      <x:c r="B143" s="290" t="str"/>
      <x:c r="C143" s="290"/>
      <x:c r="D143" s="290"/>
      <x:c r="E143" s="290"/>
      <x:c r="F143" s="290"/>
    </x:row>
    <x:row r="144" ht="42" customHeight="1">
      <x:c r="A144" s="292" t="str">
        <x:v>Next step</x:v>
      </x:c>
      <x:c r="B144" s="291" t="str">
        <x:v>Choose numerical density-profile or CDF ionogram sample; capture time, location, selection/processing history and citations.</x:v>
      </x:c>
      <x:c r="C144" s="291"/>
      <x:c r="D144" s="291"/>
      <x:c r="E144" s="291"/>
      <x:c r="F144" s="291"/>
    </x:row>
    <x:row r="145" ht="42" customHeight="1">
      <x:c r="A145" s="292" t="str">
        <x:v>Interpretation limits</x:v>
      </x:c>
      <x:c r="B145" s="290" t="str">
        <x:v>True Cold War-era scientific observations. Radio echo/propagation time is not request-processing or Internet RTT; mainly environmental/historical methods evidence.</x:v>
      </x:c>
      <x:c r="C145" s="290"/>
      <x:c r="D145" s="290"/>
      <x:c r="E145" s="290"/>
      <x:c r="F145" s="290"/>
    </x:row>
    <x:row r="146" ht="30" customHeight="1">
      <x:c r="A146" s="292" t="str">
        <x:v>Source URL 1</x:v>
      </x:c>
      <x:c r="B146" s="294" t="str">
        <x:v>https://spdf.gsfc.nasa.gov/isis/</x:v>
      </x:c>
      <x:c r="C146" s="294"/>
      <x:c r="D146" s="294"/>
      <x:c r="E146" s="294"/>
      <x:c r="F146" s="294"/>
    </x:row>
    <x:row r="147" ht="30" customHeight="1">
      <x:c r="A147" s="292" t="str">
        <x:v>Source URL 2</x:v>
      </x:c>
      <x:c r="B147" s="293" t="str">
        <x:v>https://spdf.gsfc.nasa.gov/isis/isis_read_background.html</x:v>
      </x:c>
      <x:c r="C147" s="293"/>
      <x:c r="D147" s="293"/>
      <x:c r="E147" s="293"/>
      <x:c r="F147" s="293"/>
    </x:row>
    <x:row r="148" ht="30" customHeight="1">
      <x:c r="A148" s="292" t="str">
        <x:v>Source URL 3</x:v>
      </x:c>
      <x:c r="B148" s="294" t="str">
        <x:v>https://data.nasa.gov/dataset/alouette-1-topside-electron-density-profiles-manually-scaled-at-crc-1ea4e</x:v>
      </x:c>
      <x:c r="C148" s="294"/>
      <x:c r="D148" s="294"/>
      <x:c r="E148" s="294"/>
      <x:c r="F148" s="294"/>
    </x:row>
    <x:row r="149">
      <x:c r="A149" s="284"/>
      <x:c r="B149" s="284"/>
      <x:c r="C149" s="284"/>
      <x:c r="D149" s="284"/>
      <x:c r="E149" s="284"/>
      <x:c r="F149" s="284"/>
    </x:row>
    <x:row r="150" ht="30" customHeight="1">
      <x:c r="A150" s="289" t="str">
        <x:v>CW-02  |  Worldwide historical stations — BoM / former NGDC ionosondes</x:v>
      </x:c>
      <x:c r="B150" s="289"/>
      <x:c r="C150" s="289"/>
      <x:c r="D150" s="289"/>
      <x:c r="E150" s="289"/>
      <x:c r="F150" s="289"/>
    </x:row>
    <x:row r="151" ht="42" customHeight="1">
      <x:c r="A151" s="292" t="str">
        <x:v>Evidence class</x:v>
      </x:c>
      <x:c r="B151" s="290" t="str">
        <x:v>Cold War-era numerical ionospheric records</x:v>
      </x:c>
      <x:c r="C151" s="290"/>
      <x:c r="D151" s="290"/>
      <x:c r="E151" s="290"/>
      <x:c r="F151" s="290"/>
    </x:row>
    <x:row r="152" ht="42" customHeight="1">
      <x:c r="A152" s="292" t="str">
        <x:v>Data / coverage</x:v>
      </x:c>
      <x:c r="B152" s="291" t="str">
        <x:v>BoM hourly-data page states capitalized historical station names hold NGDC-origin data files between 1957 and 1990; download by station/parameter/year.</x:v>
      </x:c>
      <x:c r="C152" s="291"/>
      <x:c r="D152" s="291"/>
      <x:c r="E152" s="291"/>
      <x:c r="F152" s="291"/>
    </x:row>
    <x:row r="153" ht="42" customHeight="1">
      <x:c r="A153" s="292" t="str">
        <x:v>Verified access state</x:v>
      </x:c>
      <x:c r="B153" s="290" t="str">
        <x:v>Public archive documentation verified; periods vary by station and do not imply complete 1957–1990 coverage.</x:v>
      </x:c>
      <x:c r="C153" s="290"/>
      <x:c r="D153" s="290"/>
      <x:c r="E153" s="290"/>
      <x:c r="F153" s="290"/>
    </x:row>
    <x:row r="154" ht="42" customHeight="1">
      <x:c r="A154" s="292" t="str">
        <x:v>Contact</x:v>
      </x:c>
      <x:c r="B154" s="291" t="str">
        <x:v>Existing ASWFC contact route — ASWFC@bom.gov.au</x:v>
      </x:c>
      <x:c r="C154" s="291"/>
      <x:c r="D154" s="291"/>
      <x:c r="E154" s="291"/>
      <x:c r="F154" s="291"/>
    </x:row>
    <x:row r="155" ht="42" customHeight="1">
      <x:c r="A155" s="292" t="str">
        <x:v>Next step</x:v>
      </x:c>
      <x:c r="B155" s="290" t="str">
        <x:v>Check availability for a selected remote station; select foF2 or relevant parameter, not monthly medians when event dynamics are required.</x:v>
      </x:c>
      <x:c r="C155" s="290"/>
      <x:c r="D155" s="290"/>
      <x:c r="E155" s="290"/>
      <x:c r="F155" s="290"/>
    </x:row>
    <x:row r="156" ht="42" customHeight="1">
      <x:c r="A156" s="292" t="str">
        <x:v>Interpretation limits</x:v>
      </x:c>
      <x:c r="B156" s="291" t="str">
        <x:v>Preserve original NGDC/observatory provenance. Historical radio/ionosphere records cannot serve as modern packet-network performance.</x:v>
      </x:c>
      <x:c r="C156" s="291"/>
      <x:c r="D156" s="291"/>
      <x:c r="E156" s="291"/>
      <x:c r="F156" s="291"/>
    </x:row>
    <x:row r="157" ht="30" customHeight="1">
      <x:c r="A157" s="292" t="str">
        <x:v>Source URL 1</x:v>
      </x:c>
      <x:c r="B157" s="293" t="str">
        <x:v>https://www.sws.bom.gov.au/World_Data_Centre/1/3</x:v>
      </x:c>
      <x:c r="C157" s="293"/>
      <x:c r="D157" s="293"/>
      <x:c r="E157" s="293"/>
      <x:c r="F157" s="293"/>
    </x:row>
    <x:row r="158" ht="30" customHeight="1">
      <x:c r="A158" s="292" t="str">
        <x:v>Source URL 2</x:v>
      </x:c>
      <x:c r="B158" s="294" t="str">
        <x:v>https://www.ncei.noaa.gov/news/nceis-ionosonde-data-program-coming-end</x:v>
      </x:c>
      <x:c r="C158" s="294"/>
      <x:c r="D158" s="294"/>
      <x:c r="E158" s="294"/>
      <x:c r="F158" s="294"/>
    </x:row>
    <x:row r="159">
      <x:c r="A159" s="284"/>
      <x:c r="B159" s="284"/>
      <x:c r="C159" s="284"/>
      <x:c r="D159" s="284"/>
      <x:c r="E159" s="284"/>
      <x:c r="F159" s="284"/>
    </x:row>
    <x:row r="160" ht="30" customHeight="1">
      <x:c r="A160" s="289" t="str">
        <x:v>NET-01  |  Global — Measurement Lab (M-Lab) — NDT / BigQuery</x:v>
      </x:c>
      <x:c r="B160" s="289"/>
      <x:c r="C160" s="289"/>
      <x:c r="D160" s="289"/>
      <x:c r="E160" s="289"/>
      <x:c r="F160" s="289"/>
    </x:row>
    <x:row r="161" ht="42" customHeight="1">
      <x:c r="A161" s="292" t="str">
        <x:v>Evidence class</x:v>
      </x:c>
      <x:c r="B161" s="290" t="str">
        <x:v>Direct network-performance measurements</x:v>
      </x:c>
      <x:c r="C161" s="290"/>
      <x:c r="D161" s="290"/>
      <x:c r="E161" s="290"/>
      <x:c r="F161" s="290"/>
    </x:row>
    <x:row r="162" ht="42" customHeight="1">
      <x:c r="A162" s="292" t="str">
        <x:v>Data / coverage</x:v>
      </x:c>
      <x:c r="B162" s="291" t="str">
        <x:v>Provider confirms the NDT dataset contains the requested network-performance information. NDT is available in BigQuery and includes server and client ASNs, enabling ASN-filtered analysis.</x:v>
      </x:c>
      <x:c r="C162" s="291"/>
      <x:c r="D162" s="291"/>
      <x:c r="E162" s="291"/>
      <x:c r="F162" s="291"/>
    </x:row>
    <x:row r="163" ht="42" customHeight="1">
      <x:c r="A163" s="292" t="str">
        <x:v>Verified access state</x:v>
      </x:c>
      <x:c r="B163" s="290" t="str">
        <x:v>SUBSTANTIVE RESPONSE RECEIVED 22 Sep 2026 — Nathan, Measurement Lab support. NDT/BigQuery confirmed as the applicable M-Lab source; no separate M-Lab outage-labeled dataset identified.</x:v>
      </x:c>
      <x:c r="C163" s="290"/>
      <x:c r="D163" s="290"/>
      <x:c r="E163" s="290"/>
      <x:c r="F163" s="290"/>
    </x:row>
    <x:row r="164" ht="42" customHeight="1">
      <x:c r="A164" s="292" t="str">
        <x:v>Contact</x:v>
      </x:c>
      <x:c r="B164" s="291" t="str">
        <x:v>Nathan — Measurement Lab support (surname/email not visible in supplied message)</x:v>
      </x:c>
      <x:c r="C164" s="291"/>
      <x:c r="D164" s="291"/>
      <x:c r="E164" s="291"/>
      <x:c r="F164" s="291"/>
    </x:row>
    <x:row r="165" ht="42" customHeight="1">
      <x:c r="A165" s="292" t="str">
        <x:v>Next step</x:v>
      </x:c>
      <x:c r="B165" s="290" t="str">
        <x:v>Query NDT in BigQuery using client/server ASN filters; begin with Starlink AS14593 and a bounded date range. Inspect numerical fields, cadence/sample bias, and preferred citation, then freeze a reproducible extract.</x:v>
      </x:c>
      <x:c r="C165" s="290"/>
      <x:c r="D165" s="290"/>
      <x:c r="E165" s="290"/>
      <x:c r="F165" s="290"/>
    </x:row>
    <x:row r="166" ht="42" customHeight="1">
      <x:c r="A166" s="292" t="str">
        <x:v>Interpretation limits</x:v>
      </x:c>
      <x:c r="B166" s="291" t="str">
        <x:v>M-Lab does not maintain another dataset that easily and meaningfully identifies outages. Outage can only be inferred from NDT context; absence of tests must not be treated as downtime/outage.</x:v>
      </x:c>
      <x:c r="C166" s="291"/>
      <x:c r="D166" s="291"/>
      <x:c r="E166" s="291"/>
      <x:c r="F166" s="291"/>
    </x:row>
    <x:row r="167" ht="30" customHeight="1">
      <x:c r="A167" s="292" t="str">
        <x:v>Source URL 1</x:v>
      </x:c>
      <x:c r="B167" s="293" t="str">
        <x:v>https://www.measurementlab.net/tests/ndt/ | BigQuery quickstart: https://www.measurementlab.net/data/docs/bq/quickstart/</x:v>
      </x:c>
      <x:c r="C167" s="293"/>
      <x:c r="D167" s="293"/>
      <x:c r="E167" s="293"/>
      <x:c r="F167" s="293"/>
    </x:row>
    <x:row r="168">
      <x:c r="A168" s="284"/>
      <x:c r="B168" s="284"/>
      <x:c r="C168" s="284"/>
      <x:c r="D168" s="284"/>
      <x:c r="E168" s="284"/>
      <x:c r="F168" s="284"/>
    </x:row>
    <x:row r="169">
      <x:c r="A169" s="284"/>
      <x:c r="B169" s="284"/>
      <x:c r="C169" s="284"/>
      <x:c r="D169" s="284"/>
      <x:c r="E169" s="284"/>
      <x:c r="F169" s="284"/>
    </x:row>
    <x:row r="170">
      <x:c r="A170" s="284"/>
      <x:c r="B170" s="284"/>
      <x:c r="C170" s="284"/>
      <x:c r="D170" s="284"/>
      <x:c r="E170" s="284"/>
      <x:c r="F170" s="284"/>
    </x:row>
    <x:row r="171">
      <x:c r="A171" s="284"/>
      <x:c r="B171" s="284"/>
      <x:c r="C171" s="284"/>
      <x:c r="D171" s="284"/>
      <x:c r="E171" s="284"/>
      <x:c r="F171" s="284"/>
    </x:row>
    <x:row r="172">
      <x:c r="A172" s="284"/>
      <x:c r="B172" s="284"/>
      <x:c r="C172" s="284"/>
      <x:c r="D172" s="284"/>
      <x:c r="E172" s="284"/>
      <x:c r="F172" s="284"/>
    </x:row>
    <x:row r="173">
      <x:c r="A173" s="284"/>
      <x:c r="B173" s="284"/>
      <x:c r="C173" s="284"/>
      <x:c r="D173" s="284"/>
      <x:c r="E173" s="284"/>
      <x:c r="F173" s="284"/>
    </x:row>
    <x:row r="174">
      <x:c r="A174" s="284"/>
      <x:c r="B174" s="284"/>
      <x:c r="C174" s="284"/>
      <x:c r="D174" s="284"/>
      <x:c r="E174" s="284"/>
      <x:c r="F174" s="284"/>
    </x:row>
    <x:row r="175">
      <x:c r="A175" s="284"/>
      <x:c r="B175" s="284"/>
      <x:c r="C175" s="284"/>
      <x:c r="D175" s="284"/>
      <x:c r="E175" s="284"/>
      <x:c r="F175" s="284"/>
    </x:row>
    <x:row r="176">
      <x:c r="A176" s="284"/>
      <x:c r="B176" s="284"/>
      <x:c r="C176" s="284"/>
      <x:c r="D176" s="284"/>
      <x:c r="E176" s="284"/>
      <x:c r="F176" s="284"/>
    </x:row>
    <x:row r="177">
      <x:c r="A177" s="284"/>
      <x:c r="B177" s="284"/>
      <x:c r="C177" s="284"/>
      <x:c r="D177" s="284"/>
      <x:c r="E177" s="284"/>
      <x:c r="F177" s="284"/>
    </x:row>
    <x:row r="178">
      <x:c r="A178" s="284"/>
      <x:c r="B178" s="284"/>
      <x:c r="C178" s="284"/>
      <x:c r="D178" s="284"/>
      <x:c r="E178" s="284"/>
      <x:c r="F178" s="284"/>
    </x:row>
    <x:row r="179">
      <x:c r="A179" s="284"/>
      <x:c r="B179" s="284"/>
      <x:c r="C179" s="284"/>
      <x:c r="D179" s="284"/>
      <x:c r="E179" s="284"/>
      <x:c r="F179" s="284"/>
    </x:row>
    <x:row r="180">
      <x:c r="A180" s="284"/>
      <x:c r="B180" s="284"/>
      <x:c r="C180" s="284"/>
      <x:c r="D180" s="284"/>
      <x:c r="E180" s="284"/>
      <x:c r="F180" s="284"/>
    </x:row>
    <x:row r="181">
      <x:c r="A181" s="284"/>
      <x:c r="B181" s="284"/>
      <x:c r="C181" s="284"/>
      <x:c r="D181" s="284"/>
      <x:c r="E181" s="284"/>
      <x:c r="F181" s="284"/>
    </x:row>
    <x:row r="182">
      <x:c r="A182" s="284"/>
      <x:c r="B182" s="284"/>
      <x:c r="C182" s="284"/>
      <x:c r="D182" s="284"/>
      <x:c r="E182" s="284"/>
      <x:c r="F182" s="284"/>
    </x:row>
    <x:row r="183">
      <x:c r="A183" s="284"/>
      <x:c r="B183" s="284"/>
      <x:c r="C183" s="284"/>
      <x:c r="D183" s="284"/>
      <x:c r="E183" s="284"/>
      <x:c r="F183" s="284"/>
    </x:row>
    <x:row r="184">
      <x:c r="A184" s="284"/>
      <x:c r="B184" s="284"/>
      <x:c r="C184" s="284"/>
      <x:c r="D184" s="284"/>
      <x:c r="E184" s="284"/>
      <x:c r="F184" s="284"/>
    </x:row>
    <x:row r="185">
      <x:c r="A185" s="284"/>
      <x:c r="B185" s="284"/>
      <x:c r="C185" s="284"/>
      <x:c r="D185" s="284"/>
      <x:c r="E185" s="284"/>
      <x:c r="F185" s="284"/>
    </x:row>
    <x:row r="186">
      <x:c r="A186" s="284"/>
      <x:c r="B186" s="284"/>
      <x:c r="C186" s="284"/>
      <x:c r="D186" s="284"/>
      <x:c r="E186" s="284"/>
      <x:c r="F186" s="284"/>
    </x:row>
    <x:row r="187">
      <x:c r="A187" s="284"/>
      <x:c r="B187" s="284"/>
      <x:c r="C187" s="284"/>
      <x:c r="D187" s="284"/>
      <x:c r="E187" s="284"/>
      <x:c r="F187" s="284"/>
    </x:row>
    <x:row r="188">
      <x:c r="A188" s="284"/>
      <x:c r="B188" s="284"/>
      <x:c r="C188" s="284"/>
      <x:c r="D188" s="284"/>
      <x:c r="E188" s="284"/>
      <x:c r="F188" s="284"/>
    </x:row>
    <x:row r="189">
      <x:c r="A189" s="284"/>
      <x:c r="B189" s="284"/>
      <x:c r="C189" s="284"/>
      <x:c r="D189" s="284"/>
      <x:c r="E189" s="284"/>
      <x:c r="F189" s="284"/>
    </x:row>
    <x:row r="190">
      <x:c r="A190" s="284"/>
      <x:c r="B190" s="284"/>
      <x:c r="C190" s="284"/>
      <x:c r="D190" s="284"/>
      <x:c r="E190" s="284"/>
      <x:c r="F190" s="284"/>
    </x:row>
    <x:row r="191">
      <x:c r="A191" s="284"/>
      <x:c r="B191" s="284"/>
      <x:c r="C191" s="284"/>
      <x:c r="D191" s="284"/>
      <x:c r="E191" s="284"/>
      <x:c r="F191" s="284"/>
    </x:row>
    <x:row r="192">
      <x:c r="A192" s="284"/>
      <x:c r="B192" s="284"/>
      <x:c r="C192" s="284"/>
      <x:c r="D192" s="284"/>
      <x:c r="E192" s="284"/>
      <x:c r="F192" s="284"/>
    </x:row>
    <x:row r="193">
      <x:c r="A193" s="284"/>
      <x:c r="B193" s="284"/>
      <x:c r="C193" s="284"/>
      <x:c r="D193" s="284"/>
      <x:c r="E193" s="284"/>
      <x:c r="F193" s="284"/>
    </x:row>
    <x:row r="194">
      <x:c r="A194" s="284"/>
      <x:c r="B194" s="284"/>
      <x:c r="C194" s="284"/>
      <x:c r="D194" s="284"/>
      <x:c r="E194" s="284"/>
      <x:c r="F194" s="284"/>
    </x:row>
    <x:row r="195">
      <x:c r="A195" s="284"/>
      <x:c r="B195" s="284"/>
      <x:c r="C195" s="284"/>
      <x:c r="D195" s="284"/>
      <x:c r="E195" s="284"/>
      <x:c r="F195" s="284"/>
    </x:row>
    <x:row r="196">
      <x:c r="A196" s="284"/>
      <x:c r="B196" s="284"/>
      <x:c r="C196" s="284"/>
      <x:c r="D196" s="284"/>
      <x:c r="E196" s="284"/>
      <x:c r="F196" s="284"/>
    </x:row>
    <x:row r="197">
      <x:c r="A197" s="284"/>
      <x:c r="B197" s="284"/>
      <x:c r="C197" s="284"/>
      <x:c r="D197" s="284"/>
      <x:c r="E197" s="284"/>
      <x:c r="F197" s="284"/>
    </x:row>
    <x:row r="198">
      <x:c r="A198" s="284"/>
      <x:c r="B198" s="284"/>
      <x:c r="C198" s="284"/>
      <x:c r="D198" s="284"/>
      <x:c r="E198" s="284"/>
      <x:c r="F198" s="284"/>
    </x:row>
    <x:row r="199">
      <x:c r="A199" s="284"/>
      <x:c r="B199" s="284"/>
      <x:c r="C199" s="284"/>
      <x:c r="D199" s="284"/>
      <x:c r="E199" s="284"/>
      <x:c r="F199" s="284"/>
    </x:row>
    <x:row r="200">
      <x:c r="A200" s="284"/>
      <x:c r="B200" s="284"/>
      <x:c r="C200" s="284"/>
      <x:c r="D200" s="284"/>
      <x:c r="E200" s="284"/>
      <x:c r="F200" s="284"/>
    </x:row>
    <x:row r="201">
      <x:c r="A201" s="284"/>
      <x:c r="B201" s="284"/>
      <x:c r="C201" s="284"/>
      <x:c r="D201" s="284"/>
      <x:c r="E201" s="284"/>
      <x:c r="F201" s="284"/>
    </x:row>
    <x:row r="202">
      <x:c r="A202" s="284"/>
      <x:c r="B202" s="284"/>
      <x:c r="C202" s="284"/>
      <x:c r="D202" s="284"/>
      <x:c r="E202" s="284"/>
      <x:c r="F202" s="284"/>
    </x:row>
    <x:row r="203">
      <x:c r="A203" s="284"/>
      <x:c r="B203" s="284"/>
      <x:c r="C203" s="284"/>
      <x:c r="D203" s="284"/>
      <x:c r="E203" s="284"/>
      <x:c r="F203" s="284"/>
    </x:row>
    <x:row r="204">
      <x:c r="A204" s="284"/>
      <x:c r="B204" s="284"/>
      <x:c r="C204" s="284"/>
      <x:c r="D204" s="284"/>
      <x:c r="E204" s="284"/>
      <x:c r="F204" s="284"/>
    </x:row>
    <x:row r="205">
      <x:c r="A205" s="284"/>
      <x:c r="B205" s="284"/>
      <x:c r="C205" s="284"/>
      <x:c r="D205" s="284"/>
      <x:c r="E205" s="284"/>
      <x:c r="F205" s="284"/>
    </x:row>
    <x:row r="206">
      <x:c r="A206" s="284"/>
      <x:c r="B206" s="284"/>
      <x:c r="C206" s="284"/>
      <x:c r="D206" s="284"/>
      <x:c r="E206" s="284"/>
      <x:c r="F206" s="284"/>
    </x:row>
    <x:row r="207">
      <x:c r="A207" s="284"/>
      <x:c r="B207" s="284"/>
      <x:c r="C207" s="284"/>
      <x:c r="D207" s="284"/>
      <x:c r="E207" s="284"/>
      <x:c r="F207" s="284"/>
    </x:row>
    <x:row r="208">
      <x:c r="A208" s="284"/>
      <x:c r="B208" s="284"/>
      <x:c r="C208" s="284"/>
      <x:c r="D208" s="284"/>
      <x:c r="E208" s="284"/>
      <x:c r="F208" s="284"/>
    </x:row>
    <x:row r="209">
      <x:c r="A209" s="284"/>
      <x:c r="B209" s="284"/>
      <x:c r="C209" s="284"/>
      <x:c r="D209" s="284"/>
      <x:c r="E209" s="284"/>
      <x:c r="F209" s="284"/>
    </x:row>
    <x:row r="210">
      <x:c r="A210" s="284"/>
      <x:c r="B210" s="284"/>
      <x:c r="C210" s="284"/>
      <x:c r="D210" s="284"/>
      <x:c r="E210" s="284"/>
      <x:c r="F210" s="284"/>
    </x:row>
    <x:row r="211">
      <x:c r="A211" s="284"/>
      <x:c r="B211" s="284"/>
      <x:c r="C211" s="284"/>
      <x:c r="D211" s="284"/>
      <x:c r="E211" s="284"/>
      <x:c r="F211" s="284"/>
    </x:row>
    <x:row r="212">
      <x:c r="A212" s="284"/>
      <x:c r="B212" s="284"/>
      <x:c r="C212" s="284"/>
      <x:c r="D212" s="284"/>
      <x:c r="E212" s="284"/>
      <x:c r="F212" s="284"/>
    </x:row>
    <x:row r="213">
      <x:c r="A213" s="284"/>
      <x:c r="B213" s="284"/>
      <x:c r="C213" s="284"/>
      <x:c r="D213" s="284"/>
      <x:c r="E213" s="284"/>
      <x:c r="F213" s="284"/>
    </x:row>
    <x:row r="214">
      <x:c r="A214" s="284"/>
      <x:c r="B214" s="284"/>
      <x:c r="C214" s="284"/>
      <x:c r="D214" s="284"/>
      <x:c r="E214" s="284"/>
      <x:c r="F214" s="284"/>
    </x:row>
    <x:row r="215">
      <x:c r="A215" s="284"/>
      <x:c r="B215" s="284"/>
      <x:c r="C215" s="284"/>
      <x:c r="D215" s="284"/>
      <x:c r="E215" s="284"/>
      <x:c r="F215" s="284"/>
    </x:row>
    <x:row r="216">
      <x:c r="A216" s="284"/>
      <x:c r="B216" s="284"/>
      <x:c r="C216" s="284"/>
      <x:c r="D216" s="284"/>
      <x:c r="E216" s="284"/>
      <x:c r="F216" s="284"/>
    </x:row>
    <x:row r="217">
      <x:c r="A217" s="284"/>
      <x:c r="B217" s="284"/>
      <x:c r="C217" s="284"/>
      <x:c r="D217" s="284"/>
      <x:c r="E217" s="284"/>
      <x:c r="F217" s="284"/>
    </x:row>
    <x:row r="218">
      <x:c r="A218" s="284"/>
      <x:c r="B218" s="284"/>
      <x:c r="C218" s="284"/>
      <x:c r="D218" s="284"/>
      <x:c r="E218" s="284"/>
      <x:c r="F218" s="284"/>
    </x:row>
    <x:row r="219">
      <x:c r="A219" s="284"/>
      <x:c r="B219" s="284"/>
      <x:c r="C219" s="284"/>
      <x:c r="D219" s="284"/>
      <x:c r="E219" s="284"/>
      <x:c r="F219" s="284"/>
    </x:row>
    <x:row r="220">
      <x:c r="A220" s="284"/>
      <x:c r="B220" s="284"/>
      <x:c r="C220" s="284"/>
      <x:c r="D220" s="284"/>
      <x:c r="E220" s="284"/>
      <x:c r="F220" s="284"/>
    </x:row>
    <x:row r="221">
      <x:c r="A221" s="284"/>
      <x:c r="B221" s="284"/>
      <x:c r="C221" s="284"/>
      <x:c r="D221" s="284"/>
      <x:c r="E221" s="284"/>
      <x:c r="F221" s="284"/>
    </x:row>
    <x:row r="222">
      <x:c r="A222" s="284"/>
      <x:c r="B222" s="284"/>
      <x:c r="C222" s="284"/>
      <x:c r="D222" s="284"/>
      <x:c r="E222" s="284"/>
      <x:c r="F222" s="284"/>
    </x:row>
    <x:row r="223">
      <x:c r="A223" s="284"/>
      <x:c r="B223" s="284"/>
      <x:c r="C223" s="284"/>
      <x:c r="D223" s="284"/>
      <x:c r="E223" s="284"/>
      <x:c r="F223" s="284"/>
    </x:row>
    <x:row r="224">
      <x:c r="A224" s="284"/>
      <x:c r="B224" s="284"/>
      <x:c r="C224" s="284"/>
      <x:c r="D224" s="284"/>
      <x:c r="E224" s="284"/>
      <x:c r="F224" s="284"/>
    </x:row>
    <x:row r="225">
      <x:c r="A225" s="284"/>
      <x:c r="B225" s="284"/>
      <x:c r="C225" s="284"/>
      <x:c r="D225" s="284"/>
      <x:c r="E225" s="284"/>
      <x:c r="F225" s="284"/>
    </x:row>
    <x:row r="226">
      <x:c r="A226" s="284"/>
      <x:c r="B226" s="284"/>
      <x:c r="C226" s="284"/>
      <x:c r="D226" s="284"/>
      <x:c r="E226" s="284"/>
      <x:c r="F226" s="284"/>
    </x:row>
    <x:row r="227">
      <x:c r="A227" s="284"/>
      <x:c r="B227" s="284"/>
      <x:c r="C227" s="284"/>
      <x:c r="D227" s="284"/>
      <x:c r="E227" s="284"/>
      <x:c r="F227" s="284"/>
    </x:row>
    <x:row r="228">
      <x:c r="A228" s="284"/>
      <x:c r="B228" s="284"/>
      <x:c r="C228" s="284"/>
      <x:c r="D228" s="284"/>
      <x:c r="E228" s="284"/>
      <x:c r="F228" s="284"/>
    </x:row>
    <x:row r="229">
      <x:c r="A229" s="284"/>
      <x:c r="B229" s="284"/>
      <x:c r="C229" s="284"/>
      <x:c r="D229" s="284"/>
      <x:c r="E229" s="284"/>
      <x:c r="F229" s="284"/>
    </x:row>
    <x:row r="230">
      <x:c r="A230" s="284"/>
      <x:c r="B230" s="284"/>
      <x:c r="C230" s="284"/>
      <x:c r="D230" s="284"/>
      <x:c r="E230" s="284"/>
      <x:c r="F230" s="284"/>
    </x:row>
    <x:row r="231">
      <x:c r="A231" s="284"/>
      <x:c r="B231" s="284"/>
      <x:c r="C231" s="284"/>
      <x:c r="D231" s="284"/>
      <x:c r="E231" s="284"/>
      <x:c r="F231" s="284"/>
    </x:row>
    <x:row r="232">
      <x:c r="A232" s="284"/>
      <x:c r="B232" s="284"/>
      <x:c r="C232" s="284"/>
      <x:c r="D232" s="284"/>
      <x:c r="E232" s="284"/>
      <x:c r="F232" s="284"/>
    </x:row>
    <x:row r="233">
      <x:c r="A233" s="284"/>
      <x:c r="B233" s="284"/>
      <x:c r="C233" s="284"/>
      <x:c r="D233" s="284"/>
      <x:c r="E233" s="284"/>
      <x:c r="F233" s="284"/>
    </x:row>
    <x:row r="234">
      <x:c r="A234" s="284"/>
      <x:c r="B234" s="284"/>
      <x:c r="C234" s="284"/>
      <x:c r="D234" s="284"/>
      <x:c r="E234" s="284"/>
      <x:c r="F234" s="284"/>
    </x:row>
    <x:row r="235">
      <x:c r="A235" s="284"/>
      <x:c r="B235" s="284"/>
      <x:c r="C235" s="284"/>
      <x:c r="D235" s="284"/>
      <x:c r="E235" s="284"/>
      <x:c r="F235" s="284"/>
    </x:row>
    <x:row r="236">
      <x:c r="A236" s="284"/>
      <x:c r="B236" s="284"/>
      <x:c r="C236" s="284"/>
      <x:c r="D236" s="284"/>
      <x:c r="E236" s="284"/>
      <x:c r="F236" s="284"/>
    </x:row>
    <x:row r="237">
      <x:c r="A237" s="284"/>
      <x:c r="B237" s="284"/>
      <x:c r="C237" s="284"/>
      <x:c r="D237" s="284"/>
      <x:c r="E237" s="284"/>
      <x:c r="F237" s="284"/>
    </x:row>
    <x:row r="238">
      <x:c r="A238" s="284"/>
      <x:c r="B238" s="284"/>
      <x:c r="C238" s="284"/>
      <x:c r="D238" s="284"/>
      <x:c r="E238" s="284"/>
      <x:c r="F238" s="284"/>
    </x:row>
    <x:row r="239">
      <x:c r="A239" s="284"/>
      <x:c r="B239" s="284"/>
      <x:c r="C239" s="284"/>
      <x:c r="D239" s="284"/>
      <x:c r="E239" s="284"/>
      <x:c r="F239" s="284"/>
    </x:row>
    <x:row r="240">
      <x:c r="A240" s="284"/>
      <x:c r="B240" s="284"/>
      <x:c r="C240" s="284"/>
      <x:c r="D240" s="284"/>
      <x:c r="E240" s="284"/>
      <x:c r="F240" s="284"/>
    </x:row>
    <x:row r="241">
      <x:c r="A241" s="284"/>
      <x:c r="B241" s="284"/>
      <x:c r="C241" s="284"/>
      <x:c r="D241" s="284"/>
      <x:c r="E241" s="284"/>
      <x:c r="F241" s="284"/>
    </x:row>
    <x:row r="242">
      <x:c r="A242" s="284"/>
      <x:c r="B242" s="284"/>
      <x:c r="C242" s="284"/>
      <x:c r="D242" s="284"/>
      <x:c r="E242" s="284"/>
      <x:c r="F242" s="284"/>
    </x:row>
    <x:row r="243">
      <x:c r="A243" s="284"/>
      <x:c r="B243" s="284"/>
      <x:c r="C243" s="284"/>
      <x:c r="D243" s="284"/>
      <x:c r="E243" s="284"/>
      <x:c r="F243" s="284"/>
    </x:row>
    <x:row r="244">
      <x:c r="A244" s="284"/>
      <x:c r="B244" s="284"/>
      <x:c r="C244" s="284"/>
      <x:c r="D244" s="284"/>
      <x:c r="E244" s="284"/>
      <x:c r="F244" s="284"/>
    </x:row>
    <x:row r="245">
      <x:c r="A245" s="284"/>
      <x:c r="B245" s="284"/>
      <x:c r="C245" s="284"/>
      <x:c r="D245" s="284"/>
      <x:c r="E245" s="284"/>
      <x:c r="F245" s="284"/>
    </x:row>
    <x:row r="246">
      <x:c r="A246" s="284"/>
      <x:c r="B246" s="284"/>
      <x:c r="C246" s="284"/>
      <x:c r="D246" s="284"/>
      <x:c r="E246" s="284"/>
      <x:c r="F246" s="284"/>
    </x:row>
    <x:row r="247">
      <x:c r="A247" s="284"/>
      <x:c r="B247" s="284"/>
      <x:c r="C247" s="284"/>
      <x:c r="D247" s="284"/>
      <x:c r="E247" s="284"/>
      <x:c r="F247" s="284"/>
    </x:row>
    <x:row r="248">
      <x:c r="A248" s="284"/>
      <x:c r="B248" s="284"/>
      <x:c r="C248" s="284"/>
      <x:c r="D248" s="284"/>
      <x:c r="E248" s="284"/>
      <x:c r="F248" s="284"/>
    </x:row>
    <x:row r="249">
      <x:c r="A249" s="284"/>
      <x:c r="B249" s="284"/>
      <x:c r="C249" s="284"/>
      <x:c r="D249" s="284"/>
      <x:c r="E249" s="284"/>
      <x:c r="F249" s="284"/>
    </x:row>
    <x:row r="250">
      <x:c r="A250" s="284"/>
      <x:c r="B250" s="284"/>
      <x:c r="C250" s="284"/>
      <x:c r="D250" s="284"/>
      <x:c r="E250" s="284"/>
      <x:c r="F250" s="284"/>
    </x:row>
    <x:row r="251">
      <x:c r="A251" s="284"/>
      <x:c r="B251" s="284"/>
      <x:c r="C251" s="284"/>
      <x:c r="D251" s="284"/>
      <x:c r="E251" s="284"/>
      <x:c r="F251" s="284"/>
    </x:row>
    <x:row r="252">
      <x:c r="A252" s="284"/>
      <x:c r="B252" s="284"/>
      <x:c r="C252" s="284"/>
      <x:c r="D252" s="284"/>
      <x:c r="E252" s="284"/>
      <x:c r="F252" s="284"/>
    </x:row>
    <x:row r="253">
      <x:c r="A253" s="284"/>
      <x:c r="B253" s="284"/>
      <x:c r="C253" s="284"/>
      <x:c r="D253" s="284"/>
      <x:c r="E253" s="284"/>
      <x:c r="F253" s="284"/>
    </x:row>
    <x:row r="254">
      <x:c r="A254" s="284"/>
      <x:c r="B254" s="284"/>
      <x:c r="C254" s="284"/>
      <x:c r="D254" s="284"/>
      <x:c r="E254" s="284"/>
      <x:c r="F254" s="284"/>
    </x:row>
    <x:row r="255">
      <x:c r="A255" s="284"/>
      <x:c r="B255" s="284"/>
      <x:c r="C255" s="284"/>
      <x:c r="D255" s="284"/>
      <x:c r="E255" s="284"/>
      <x:c r="F255" s="284"/>
    </x:row>
    <x:row r="256">
      <x:c r="A256" s="284"/>
      <x:c r="B256" s="284"/>
      <x:c r="C256" s="284"/>
      <x:c r="D256" s="284"/>
      <x:c r="E256" s="284"/>
      <x:c r="F256" s="284"/>
    </x:row>
    <x:row r="257">
      <x:c r="A257" s="284"/>
      <x:c r="B257" s="284"/>
      <x:c r="C257" s="284"/>
      <x:c r="D257" s="284"/>
      <x:c r="E257" s="284"/>
      <x:c r="F257" s="284"/>
    </x:row>
    <x:row r="258">
      <x:c r="A258" s="284"/>
      <x:c r="B258" s="284"/>
      <x:c r="C258" s="284"/>
      <x:c r="D258" s="284"/>
      <x:c r="E258" s="284"/>
      <x:c r="F258" s="284"/>
    </x:row>
    <x:row r="259">
      <x:c r="A259" s="284"/>
      <x:c r="B259" s="284"/>
      <x:c r="C259" s="284"/>
      <x:c r="D259" s="284"/>
      <x:c r="E259" s="284"/>
      <x:c r="F259" s="284"/>
    </x:row>
    <x:row r="260">
      <x:c r="A260" s="284"/>
      <x:c r="B260" s="284"/>
      <x:c r="C260" s="284"/>
      <x:c r="D260" s="284"/>
      <x:c r="E260" s="284"/>
      <x:c r="F260" s="284"/>
    </x:row>
    <x:row r="261">
      <x:c r="A261" s="284"/>
      <x:c r="B261" s="284"/>
      <x:c r="C261" s="284"/>
      <x:c r="D261" s="284"/>
      <x:c r="E261" s="284"/>
      <x:c r="F261" s="284"/>
    </x:row>
    <x:row r="262">
      <x:c r="A262" s="284"/>
      <x:c r="B262" s="284"/>
      <x:c r="C262" s="284"/>
      <x:c r="D262" s="284"/>
      <x:c r="E262" s="284"/>
      <x:c r="F262" s="284"/>
    </x:row>
    <x:row r="263">
      <x:c r="A263" s="284"/>
      <x:c r="B263" s="284"/>
      <x:c r="C263" s="284"/>
      <x:c r="D263" s="284"/>
      <x:c r="E263" s="284"/>
      <x:c r="F263" s="284"/>
    </x:row>
    <x:row r="264">
      <x:c r="A264" s="284"/>
      <x:c r="B264" s="284"/>
      <x:c r="C264" s="284"/>
      <x:c r="D264" s="284"/>
      <x:c r="E264" s="284"/>
      <x:c r="F264" s="284"/>
    </x:row>
    <x:row r="265">
      <x:c r="A265" s="284"/>
      <x:c r="B265" s="284"/>
      <x:c r="C265" s="284"/>
      <x:c r="D265" s="284"/>
      <x:c r="E265" s="284"/>
      <x:c r="F265" s="284"/>
    </x:row>
    <x:row r="266">
      <x:c r="A266" s="284"/>
      <x:c r="B266" s="284"/>
      <x:c r="C266" s="284"/>
      <x:c r="D266" s="284"/>
      <x:c r="E266" s="284"/>
      <x:c r="F266" s="284"/>
    </x:row>
    <x:row r="267">
      <x:c r="A267" s="284"/>
      <x:c r="B267" s="284"/>
      <x:c r="C267" s="284"/>
      <x:c r="D267" s="284"/>
      <x:c r="E267" s="284"/>
      <x:c r="F267" s="284"/>
    </x:row>
    <x:row r="268">
      <x:c r="A268" s="284"/>
      <x:c r="B268" s="284"/>
      <x:c r="C268" s="284"/>
      <x:c r="D268" s="284"/>
      <x:c r="E268" s="284"/>
      <x:c r="F268" s="284"/>
    </x:row>
    <x:row r="269">
      <x:c r="A269" s="284"/>
      <x:c r="B269" s="284"/>
      <x:c r="C269" s="284"/>
      <x:c r="D269" s="284"/>
      <x:c r="E269" s="284"/>
      <x:c r="F269" s="284"/>
    </x:row>
    <x:row r="270">
      <x:c r="A270" s="284"/>
      <x:c r="B270" s="284"/>
      <x:c r="C270" s="284"/>
      <x:c r="D270" s="284"/>
      <x:c r="E270" s="284"/>
      <x:c r="F270" s="284"/>
    </x:row>
    <x:row r="271">
      <x:c r="A271" s="284"/>
      <x:c r="B271" s="284"/>
      <x:c r="C271" s="284"/>
      <x:c r="D271" s="284"/>
      <x:c r="E271" s="284"/>
      <x:c r="F271" s="284"/>
    </x:row>
    <x:row r="272">
      <x:c r="A272" s="284"/>
      <x:c r="B272" s="284"/>
      <x:c r="C272" s="284"/>
      <x:c r="D272" s="284"/>
      <x:c r="E272" s="284"/>
      <x:c r="F272" s="284"/>
    </x:row>
    <x:row r="273">
      <x:c r="A273" s="284"/>
      <x:c r="B273" s="284"/>
      <x:c r="C273" s="284"/>
      <x:c r="D273" s="284"/>
      <x:c r="E273" s="284"/>
      <x:c r="F273" s="284"/>
    </x:row>
    <x:row r="274">
      <x:c r="A274" s="284"/>
      <x:c r="B274" s="284"/>
      <x:c r="C274" s="284"/>
      <x:c r="D274" s="284"/>
      <x:c r="E274" s="284"/>
      <x:c r="F274" s="284"/>
    </x:row>
    <x:row r="275">
      <x:c r="A275" s="284"/>
      <x:c r="B275" s="284"/>
      <x:c r="C275" s="284"/>
      <x:c r="D275" s="284"/>
      <x:c r="E275" s="284"/>
      <x:c r="F275" s="284"/>
    </x:row>
    <x:row r="276">
      <x:c r="A276" s="284"/>
      <x:c r="B276" s="284"/>
      <x:c r="C276" s="284"/>
      <x:c r="D276" s="284"/>
      <x:c r="E276" s="284"/>
      <x:c r="F276" s="284"/>
    </x:row>
    <x:row r="277">
      <x:c r="A277" s="284"/>
      <x:c r="B277" s="284"/>
      <x:c r="C277" s="284"/>
      <x:c r="D277" s="284"/>
      <x:c r="E277" s="284"/>
      <x:c r="F277" s="284"/>
    </x:row>
    <x:row r="278">
      <x:c r="A278" s="284"/>
      <x:c r="B278" s="284"/>
      <x:c r="C278" s="284"/>
      <x:c r="D278" s="284"/>
      <x:c r="E278" s="284"/>
      <x:c r="F278" s="284"/>
    </x:row>
    <x:row r="279">
      <x:c r="A279" s="284"/>
      <x:c r="B279" s="284"/>
      <x:c r="C279" s="284"/>
      <x:c r="D279" s="284"/>
      <x:c r="E279" s="284"/>
      <x:c r="F279" s="284"/>
    </x:row>
    <x:row r="280">
      <x:c r="A280" s="284"/>
      <x:c r="B280" s="284"/>
      <x:c r="C280" s="284"/>
      <x:c r="D280" s="284"/>
      <x:c r="E280" s="284"/>
      <x:c r="F280" s="284"/>
    </x:row>
    <x:row r="281">
      <x:c r="A281" s="284"/>
      <x:c r="B281" s="284"/>
      <x:c r="C281" s="284"/>
      <x:c r="D281" s="284"/>
      <x:c r="E281" s="284"/>
      <x:c r="F281" s="284"/>
    </x:row>
    <x:row r="282">
      <x:c r="A282" s="284"/>
      <x:c r="B282" s="284"/>
      <x:c r="C282" s="284"/>
      <x:c r="D282" s="284"/>
      <x:c r="E282" s="284"/>
      <x:c r="F282" s="284"/>
    </x:row>
    <x:row r="283">
      <x:c r="A283" s="284"/>
      <x:c r="B283" s="284"/>
      <x:c r="C283" s="284"/>
      <x:c r="D283" s="284"/>
      <x:c r="E283" s="284"/>
      <x:c r="F283" s="284"/>
    </x:row>
    <x:row r="284">
      <x:c r="A284" s="284"/>
      <x:c r="B284" s="284"/>
      <x:c r="C284" s="284"/>
      <x:c r="D284" s="284"/>
      <x:c r="E284" s="284"/>
      <x:c r="F284" s="284"/>
    </x:row>
    <x:row r="285">
      <x:c r="A285" s="284"/>
      <x:c r="B285" s="284"/>
      <x:c r="C285" s="284"/>
      <x:c r="D285" s="284"/>
      <x:c r="E285" s="284"/>
      <x:c r="F285" s="284"/>
    </x:row>
    <x:row r="286">
      <x:c r="A286" s="284"/>
      <x:c r="B286" s="284"/>
      <x:c r="C286" s="284"/>
      <x:c r="D286" s="284"/>
      <x:c r="E286" s="284"/>
      <x:c r="F286" s="284"/>
    </x:row>
    <x:row r="287">
      <x:c r="A287" s="284"/>
      <x:c r="B287" s="284"/>
      <x:c r="C287" s="284"/>
      <x:c r="D287" s="284"/>
      <x:c r="E287" s="284"/>
      <x:c r="F287" s="284"/>
    </x:row>
    <x:row r="288">
      <x:c r="A288" s="284"/>
      <x:c r="B288" s="284"/>
      <x:c r="C288" s="284"/>
      <x:c r="D288" s="284"/>
      <x:c r="E288" s="284"/>
      <x:c r="F288" s="284"/>
    </x:row>
    <x:row r="289">
      <x:c r="A289" s="284"/>
      <x:c r="B289" s="284"/>
      <x:c r="C289" s="284"/>
      <x:c r="D289" s="284"/>
      <x:c r="E289" s="284"/>
      <x:c r="F289" s="284"/>
    </x:row>
    <x:row r="290">
      <x:c r="A290" s="284"/>
      <x:c r="B290" s="284"/>
      <x:c r="C290" s="284"/>
      <x:c r="D290" s="284"/>
      <x:c r="E290" s="284"/>
      <x:c r="F290" s="284"/>
    </x:row>
    <x:row r="291">
      <x:c r="A291" s="284"/>
      <x:c r="B291" s="284"/>
      <x:c r="C291" s="284"/>
      <x:c r="D291" s="284"/>
      <x:c r="E291" s="284"/>
      <x:c r="F291" s="284"/>
    </x:row>
    <x:row r="292">
      <x:c r="A292" s="284"/>
      <x:c r="B292" s="284"/>
      <x:c r="C292" s="284"/>
      <x:c r="D292" s="284"/>
      <x:c r="E292" s="284"/>
      <x:c r="F292" s="284"/>
    </x:row>
    <x:row r="293">
      <x:c r="A293" s="284"/>
      <x:c r="B293" s="284"/>
      <x:c r="C293" s="284"/>
      <x:c r="D293" s="284"/>
      <x:c r="E293" s="284"/>
      <x:c r="F293" s="284"/>
    </x:row>
    <x:row r="294">
      <x:c r="A294" s="284"/>
      <x:c r="B294" s="284"/>
      <x:c r="C294" s="284"/>
      <x:c r="D294" s="284"/>
      <x:c r="E294" s="284"/>
      <x:c r="F294" s="284"/>
    </x:row>
    <x:row r="295">
      <x:c r="A295" s="284"/>
      <x:c r="B295" s="284"/>
      <x:c r="C295" s="284"/>
      <x:c r="D295" s="284"/>
      <x:c r="E295" s="284"/>
      <x:c r="F295" s="284"/>
    </x:row>
    <x:row r="296">
      <x:c r="A296" s="284"/>
      <x:c r="B296" s="284"/>
      <x:c r="C296" s="284"/>
      <x:c r="D296" s="284"/>
      <x:c r="E296" s="284"/>
      <x:c r="F296" s="284"/>
    </x:row>
    <x:row r="297">
      <x:c r="A297" s="284"/>
      <x:c r="B297" s="284"/>
      <x:c r="C297" s="284"/>
      <x:c r="D297" s="284"/>
      <x:c r="E297" s="284"/>
      <x:c r="F297" s="284"/>
    </x:row>
    <x:row r="298">
      <x:c r="A298" s="284"/>
      <x:c r="B298" s="284"/>
      <x:c r="C298" s="284"/>
      <x:c r="D298" s="284"/>
      <x:c r="E298" s="284"/>
      <x:c r="F298" s="284"/>
    </x:row>
    <x:row r="299">
      <x:c r="A299" s="284"/>
      <x:c r="B299" s="284"/>
      <x:c r="C299" s="284"/>
      <x:c r="D299" s="284"/>
      <x:c r="E299" s="284"/>
      <x:c r="F299" s="284"/>
    </x:row>
    <x:row r="300">
      <x:c r="A300" s="284"/>
      <x:c r="B300" s="284"/>
      <x:c r="C300" s="284"/>
      <x:c r="D300" s="284"/>
      <x:c r="E300" s="284"/>
      <x:c r="F300" s="284"/>
    </x:row>
    <x:row r="301">
      <x:c r="A301" s="284"/>
      <x:c r="B301" s="284"/>
      <x:c r="C301" s="284"/>
      <x:c r="D301" s="284"/>
      <x:c r="E301" s="284"/>
      <x:c r="F301" s="284"/>
    </x:row>
    <x:row r="302">
      <x:c r="A302" s="284"/>
      <x:c r="B302" s="284"/>
      <x:c r="C302" s="284"/>
      <x:c r="D302" s="284"/>
      <x:c r="E302" s="284"/>
      <x:c r="F302" s="284"/>
    </x:row>
    <x:row r="303">
      <x:c r="A303" s="284"/>
      <x:c r="B303" s="284"/>
      <x:c r="C303" s="284"/>
      <x:c r="D303" s="284"/>
      <x:c r="E303" s="284"/>
      <x:c r="F303" s="284"/>
    </x:row>
    <x:row r="304">
      <x:c r="A304" s="284"/>
      <x:c r="B304" s="284"/>
      <x:c r="C304" s="284"/>
      <x:c r="D304" s="284"/>
      <x:c r="E304" s="284"/>
      <x:c r="F304" s="284"/>
    </x:row>
    <x:row r="305">
      <x:c r="A305" s="284"/>
      <x:c r="B305" s="284"/>
      <x:c r="C305" s="284"/>
      <x:c r="D305" s="284"/>
      <x:c r="E305" s="284"/>
      <x:c r="F305" s="284"/>
    </x:row>
    <x:row r="306">
      <x:c r="A306" s="284"/>
      <x:c r="B306" s="284"/>
      <x:c r="C306" s="284"/>
      <x:c r="D306" s="284"/>
      <x:c r="E306" s="284"/>
      <x:c r="F306" s="284"/>
    </x:row>
    <x:row r="307">
      <x:c r="A307" s="284"/>
      <x:c r="B307" s="284"/>
      <x:c r="C307" s="284"/>
      <x:c r="D307" s="284"/>
      <x:c r="E307" s="284"/>
      <x:c r="F307" s="284"/>
    </x:row>
    <x:row r="308">
      <x:c r="A308" s="284"/>
      <x:c r="B308" s="284"/>
      <x:c r="C308" s="284"/>
      <x:c r="D308" s="284"/>
      <x:c r="E308" s="284"/>
      <x:c r="F308" s="284"/>
    </x:row>
    <x:row r="309">
      <x:c r="A309" s="284"/>
      <x:c r="B309" s="284"/>
      <x:c r="C309" s="284"/>
      <x:c r="D309" s="284"/>
      <x:c r="E309" s="284"/>
      <x:c r="F309" s="284"/>
    </x:row>
    <x:row r="310">
      <x:c r="A310" s="284"/>
      <x:c r="B310" s="284"/>
      <x:c r="C310" s="284"/>
      <x:c r="D310" s="284"/>
      <x:c r="E310" s="284"/>
      <x:c r="F310" s="284"/>
    </x:row>
    <x:row r="311">
      <x:c r="A311" s="284"/>
      <x:c r="B311" s="284"/>
      <x:c r="C311" s="284"/>
      <x:c r="D311" s="284"/>
      <x:c r="E311" s="284"/>
      <x:c r="F311" s="284"/>
    </x:row>
    <x:row r="312">
      <x:c r="A312" s="284"/>
      <x:c r="B312" s="284"/>
      <x:c r="C312" s="284"/>
      <x:c r="D312" s="284"/>
      <x:c r="E312" s="284"/>
      <x:c r="F312" s="284"/>
    </x:row>
    <x:row r="313">
      <x:c r="A313" s="284"/>
      <x:c r="B313" s="284"/>
      <x:c r="C313" s="284"/>
      <x:c r="D313" s="284"/>
      <x:c r="E313" s="284"/>
      <x:c r="F313" s="284"/>
    </x:row>
    <x:row r="314">
      <x:c r="A314" s="284"/>
      <x:c r="B314" s="284"/>
      <x:c r="C314" s="284"/>
      <x:c r="D314" s="284"/>
      <x:c r="E314" s="284"/>
      <x:c r="F314" s="284"/>
    </x:row>
    <x:row r="315">
      <x:c r="A315" s="284"/>
      <x:c r="B315" s="284"/>
      <x:c r="C315" s="284"/>
      <x:c r="D315" s="284"/>
      <x:c r="E315" s="284"/>
      <x:c r="F315" s="284"/>
    </x:row>
    <x:row r="316">
      <x:c r="A316" s="284"/>
      <x:c r="B316" s="284"/>
      <x:c r="C316" s="284"/>
      <x:c r="D316" s="284"/>
      <x:c r="E316" s="284"/>
      <x:c r="F316" s="284"/>
    </x:row>
    <x:row r="317">
      <x:c r="A317" s="284"/>
      <x:c r="B317" s="284"/>
      <x:c r="C317" s="284"/>
      <x:c r="D317" s="284"/>
      <x:c r="E317" s="284"/>
      <x:c r="F317" s="284"/>
    </x:row>
    <x:row r="318">
      <x:c r="A318" s="284"/>
      <x:c r="B318" s="284"/>
      <x:c r="C318" s="284"/>
      <x:c r="D318" s="284"/>
      <x:c r="E318" s="284"/>
      <x:c r="F318" s="284"/>
    </x:row>
    <x:row r="319">
      <x:c r="A319" s="284"/>
      <x:c r="B319" s="284"/>
      <x:c r="C319" s="284"/>
      <x:c r="D319" s="284"/>
      <x:c r="E319" s="284"/>
      <x:c r="F319" s="284"/>
    </x:row>
    <x:row r="320">
      <x:c r="A320" s="284"/>
      <x:c r="B320" s="284"/>
      <x:c r="C320" s="284"/>
      <x:c r="D320" s="284"/>
      <x:c r="E320" s="284"/>
      <x:c r="F320" s="284"/>
    </x:row>
    <x:row r="321">
      <x:c r="A321" s="284"/>
      <x:c r="B321" s="284"/>
      <x:c r="C321" s="284"/>
      <x:c r="D321" s="284"/>
      <x:c r="E321" s="284"/>
      <x:c r="F321" s="284"/>
    </x:row>
    <x:row r="322">
      <x:c r="A322" s="284"/>
      <x:c r="B322" s="284"/>
      <x:c r="C322" s="284"/>
      <x:c r="D322" s="284"/>
      <x:c r="E322" s="284"/>
      <x:c r="F322" s="284"/>
    </x:row>
    <x:row r="323">
      <x:c r="A323" s="284"/>
      <x:c r="B323" s="284"/>
      <x:c r="C323" s="284"/>
      <x:c r="D323" s="284"/>
      <x:c r="E323" s="284"/>
      <x:c r="F323" s="284"/>
    </x:row>
    <x:row r="324">
      <x:c r="A324" s="284"/>
      <x:c r="B324" s="284"/>
      <x:c r="C324" s="284"/>
      <x:c r="D324" s="284"/>
      <x:c r="E324" s="284"/>
      <x:c r="F324" s="284"/>
    </x:row>
    <x:row r="325">
      <x:c r="A325" s="284"/>
      <x:c r="B325" s="284"/>
      <x:c r="C325" s="284"/>
      <x:c r="D325" s="284"/>
      <x:c r="E325" s="284"/>
      <x:c r="F325" s="284"/>
    </x:row>
    <x:row r="326">
      <x:c r="A326" s="284"/>
      <x:c r="B326" s="284"/>
      <x:c r="C326" s="284"/>
      <x:c r="D326" s="284"/>
      <x:c r="E326" s="284"/>
      <x:c r="F326" s="284"/>
    </x:row>
    <x:row r="327">
      <x:c r="A327" s="284"/>
      <x:c r="B327" s="284"/>
      <x:c r="C327" s="284"/>
      <x:c r="D327" s="284"/>
      <x:c r="E327" s="284"/>
      <x:c r="F327" s="284"/>
    </x:row>
    <x:row r="328">
      <x:c r="A328" s="284"/>
      <x:c r="B328" s="284"/>
      <x:c r="C328" s="284"/>
      <x:c r="D328" s="284"/>
      <x:c r="E328" s="284"/>
      <x:c r="F328" s="284"/>
    </x:row>
    <x:row r="329">
      <x:c r="A329" s="284"/>
      <x:c r="B329" s="284"/>
      <x:c r="C329" s="284"/>
      <x:c r="D329" s="284"/>
      <x:c r="E329" s="284"/>
      <x:c r="F329" s="284"/>
    </x:row>
    <x:row r="330">
      <x:c r="A330" s="284"/>
      <x:c r="B330" s="284"/>
      <x:c r="C330" s="284"/>
      <x:c r="D330" s="284"/>
      <x:c r="E330" s="284"/>
      <x:c r="F330" s="284"/>
    </x:row>
    <x:row r="331">
      <x:c r="A331" s="284"/>
      <x:c r="B331" s="284"/>
      <x:c r="C331" s="284"/>
      <x:c r="D331" s="284"/>
      <x:c r="E331" s="284"/>
      <x:c r="F331" s="284"/>
    </x:row>
    <x:row r="332">
      <x:c r="A332" s="284"/>
      <x:c r="B332" s="284"/>
      <x:c r="C332" s="284"/>
      <x:c r="D332" s="284"/>
      <x:c r="E332" s="284"/>
      <x:c r="F332" s="284"/>
    </x:row>
    <x:row r="333">
      <x:c r="A333" s="284"/>
      <x:c r="B333" s="284"/>
      <x:c r="C333" s="284"/>
      <x:c r="D333" s="284"/>
      <x:c r="E333" s="284"/>
      <x:c r="F333" s="284"/>
    </x:row>
    <x:row r="334">
      <x:c r="A334" s="284"/>
      <x:c r="B334" s="284"/>
      <x:c r="C334" s="284"/>
      <x:c r="D334" s="284"/>
      <x:c r="E334" s="284"/>
      <x:c r="F334" s="284"/>
    </x:row>
    <x:row r="335">
      <x:c r="A335" s="284"/>
      <x:c r="B335" s="284"/>
      <x:c r="C335" s="284"/>
      <x:c r="D335" s="284"/>
      <x:c r="E335" s="284"/>
      <x:c r="F335" s="284"/>
    </x:row>
    <x:row r="336">
      <x:c r="A336" s="284"/>
      <x:c r="B336" s="284"/>
      <x:c r="C336" s="284"/>
      <x:c r="D336" s="284"/>
      <x:c r="E336" s="284"/>
      <x:c r="F336" s="284"/>
    </x:row>
    <x:row r="337">
      <x:c r="A337" s="284"/>
      <x:c r="B337" s="284"/>
      <x:c r="C337" s="284"/>
      <x:c r="D337" s="284"/>
      <x:c r="E337" s="284"/>
      <x:c r="F337" s="284"/>
    </x:row>
    <x:row r="338">
      <x:c r="A338" s="284"/>
      <x:c r="B338" s="284"/>
      <x:c r="C338" s="284"/>
      <x:c r="D338" s="284"/>
      <x:c r="E338" s="284"/>
      <x:c r="F338" s="284"/>
    </x:row>
    <x:row r="339">
      <x:c r="A339" s="284"/>
      <x:c r="B339" s="284"/>
      <x:c r="C339" s="284"/>
      <x:c r="D339" s="284"/>
      <x:c r="E339" s="284"/>
      <x:c r="F339" s="284"/>
    </x:row>
    <x:row r="340">
      <x:c r="A340" s="284"/>
      <x:c r="B340" s="284"/>
      <x:c r="C340" s="284"/>
      <x:c r="D340" s="284"/>
      <x:c r="E340" s="284"/>
      <x:c r="F340" s="284"/>
    </x:row>
    <x:row r="341">
      <x:c r="A341" s="284"/>
      <x:c r="B341" s="284"/>
      <x:c r="C341" s="284"/>
      <x:c r="D341" s="284"/>
      <x:c r="E341" s="284"/>
      <x:c r="F341" s="284"/>
    </x:row>
    <x:row r="342">
      <x:c r="A342" s="284"/>
      <x:c r="B342" s="284"/>
      <x:c r="C342" s="284"/>
      <x:c r="D342" s="284"/>
      <x:c r="E342" s="284"/>
      <x:c r="F342" s="284"/>
    </x:row>
    <x:row r="343">
      <x:c r="A343" s="284"/>
      <x:c r="B343" s="284"/>
      <x:c r="C343" s="284"/>
      <x:c r="D343" s="284"/>
      <x:c r="E343" s="284"/>
      <x:c r="F343" s="284"/>
    </x:row>
    <x:row r="344">
      <x:c r="A344" s="284"/>
      <x:c r="B344" s="284"/>
      <x:c r="C344" s="284"/>
      <x:c r="D344" s="284"/>
      <x:c r="E344" s="284"/>
      <x:c r="F344" s="284"/>
    </x:row>
    <x:row r="345">
      <x:c r="A345" s="284"/>
      <x:c r="B345" s="284"/>
      <x:c r="C345" s="284"/>
      <x:c r="D345" s="284"/>
      <x:c r="E345" s="284"/>
      <x:c r="F345" s="284"/>
    </x:row>
    <x:row r="346">
      <x:c r="A346" s="284"/>
      <x:c r="B346" s="284"/>
      <x:c r="C346" s="284"/>
      <x:c r="D346" s="284"/>
      <x:c r="E346" s="284"/>
      <x:c r="F346" s="284"/>
    </x:row>
    <x:row r="347">
      <x:c r="A347" s="284"/>
      <x:c r="B347" s="284"/>
      <x:c r="C347" s="284"/>
      <x:c r="D347" s="284"/>
      <x:c r="E347" s="284"/>
      <x:c r="F347" s="284"/>
    </x:row>
    <x:row r="348">
      <x:c r="A348" s="284"/>
      <x:c r="B348" s="284"/>
      <x:c r="C348" s="284"/>
      <x:c r="D348" s="284"/>
      <x:c r="E348" s="284"/>
      <x:c r="F348" s="284"/>
    </x:row>
    <x:row r="349">
      <x:c r="A349" s="284"/>
      <x:c r="B349" s="284"/>
      <x:c r="C349" s="284"/>
      <x:c r="D349" s="284"/>
      <x:c r="E349" s="284"/>
      <x:c r="F349" s="284"/>
    </x:row>
    <x:row r="350">
      <x:c r="A350" s="284"/>
      <x:c r="B350" s="284"/>
      <x:c r="C350" s="284"/>
      <x:c r="D350" s="284"/>
      <x:c r="E350" s="284"/>
      <x:c r="F350" s="284"/>
    </x:row>
  </x:sheetData>
  <x:mergeCells>
    <x:mergeCell ref="A1:F1"/>
    <x:mergeCell ref="A2:F2"/>
    <x:mergeCell ref="A4:F4"/>
    <x:mergeCell ref="A6:F6"/>
    <x:mergeCell ref="B7:F7"/>
    <x:mergeCell ref="B8:F8"/>
    <x:mergeCell ref="B9:F9"/>
    <x:mergeCell ref="B10:F10"/>
    <x:mergeCell ref="B11:F11"/>
    <x:mergeCell ref="B12:F12"/>
    <x:mergeCell ref="B13:F13"/>
    <x:mergeCell ref="B14:F14"/>
    <x:mergeCell ref="B15:F15"/>
    <x:mergeCell ref="A17:F17"/>
    <x:mergeCell ref="B18:F18"/>
    <x:mergeCell ref="B19:F19"/>
    <x:mergeCell ref="B20:F20"/>
    <x:mergeCell ref="B21:F21"/>
    <x:mergeCell ref="B22:F22"/>
    <x:mergeCell ref="B23:F23"/>
    <x:mergeCell ref="B24:F24"/>
    <x:mergeCell ref="B25:F25"/>
    <x:mergeCell ref="A27:F27"/>
    <x:mergeCell ref="B28:F28"/>
    <x:mergeCell ref="B29:F29"/>
    <x:mergeCell ref="B30:F30"/>
    <x:mergeCell ref="B31:F31"/>
    <x:mergeCell ref="B32:F32"/>
    <x:mergeCell ref="B33:F33"/>
    <x:mergeCell ref="B34:F34"/>
    <x:mergeCell ref="B35:F35"/>
    <x:mergeCell ref="A37:F37"/>
    <x:mergeCell ref="B38:F38"/>
    <x:mergeCell ref="B39:F39"/>
    <x:mergeCell ref="B40:F40"/>
    <x:mergeCell ref="B41:F41"/>
    <x:mergeCell ref="B42:F42"/>
    <x:mergeCell ref="B43:F43"/>
    <x:mergeCell ref="B44:F44"/>
    <x:mergeCell ref="A46:F46"/>
    <x:mergeCell ref="B47:F47"/>
    <x:mergeCell ref="B48:F48"/>
    <x:mergeCell ref="B49:F49"/>
    <x:mergeCell ref="B50:F50"/>
    <x:mergeCell ref="B51:F51"/>
    <x:mergeCell ref="B52:F52"/>
    <x:mergeCell ref="B53:F53"/>
    <x:mergeCell ref="B54:F54"/>
    <x:mergeCell ref="B55:F55"/>
    <x:mergeCell ref="A57:F57"/>
    <x:mergeCell ref="B58:F58"/>
    <x:mergeCell ref="B59:F59"/>
    <x:mergeCell ref="B60:F60"/>
    <x:mergeCell ref="B61:F61"/>
    <x:mergeCell ref="B62:F62"/>
    <x:mergeCell ref="B63:F63"/>
    <x:mergeCell ref="B64:F64"/>
    <x:mergeCell ref="A66:F66"/>
    <x:mergeCell ref="B67:F67"/>
    <x:mergeCell ref="B68:F68"/>
    <x:mergeCell ref="B69:F69"/>
    <x:mergeCell ref="B70:F70"/>
    <x:mergeCell ref="B71:F71"/>
    <x:mergeCell ref="B72:F72"/>
    <x:mergeCell ref="B73:F73"/>
    <x:mergeCell ref="B74:F74"/>
    <x:mergeCell ref="B75:F75"/>
    <x:mergeCell ref="A77:F77"/>
    <x:mergeCell ref="B78:F78"/>
    <x:mergeCell ref="B79:F79"/>
    <x:mergeCell ref="B80:F80"/>
    <x:mergeCell ref="B81:F81"/>
    <x:mergeCell ref="B82:F82"/>
    <x:mergeCell ref="B83:F83"/>
    <x:mergeCell ref="B84:F84"/>
    <x:mergeCell ref="B85:F85"/>
    <x:mergeCell ref="B86:F86"/>
    <x:mergeCell ref="B87:F87"/>
    <x:mergeCell ref="A89:F89"/>
    <x:mergeCell ref="B90:F90"/>
    <x:mergeCell ref="B91:F91"/>
    <x:mergeCell ref="B92:F92"/>
    <x:mergeCell ref="B93:F93"/>
    <x:mergeCell ref="B94:F94"/>
    <x:mergeCell ref="B95:F95"/>
    <x:mergeCell ref="B96:F96"/>
    <x:mergeCell ref="A98:F98"/>
    <x:mergeCell ref="B99:F99"/>
    <x:mergeCell ref="B100:F100"/>
    <x:mergeCell ref="B101:F101"/>
    <x:mergeCell ref="B102:F102"/>
    <x:mergeCell ref="B103:F103"/>
    <x:mergeCell ref="B104:F104"/>
    <x:mergeCell ref="B105:F105"/>
    <x:mergeCell ref="B106:F106"/>
    <x:mergeCell ref="A108:F108"/>
    <x:mergeCell ref="B109:F109"/>
    <x:mergeCell ref="B110:F110"/>
    <x:mergeCell ref="B111:F111"/>
    <x:mergeCell ref="B112:F112"/>
    <x:mergeCell ref="B113:F113"/>
    <x:mergeCell ref="B114:F114"/>
    <x:mergeCell ref="B115:F115"/>
    <x:mergeCell ref="B116:F116"/>
    <x:mergeCell ref="A118:F118"/>
    <x:mergeCell ref="B119:F119"/>
    <x:mergeCell ref="B120:F120"/>
    <x:mergeCell ref="B121:F121"/>
    <x:mergeCell ref="B122:F122"/>
    <x:mergeCell ref="B123:F123"/>
    <x:mergeCell ref="B124:F124"/>
    <x:mergeCell ref="B125:F125"/>
    <x:mergeCell ref="B126:F126"/>
    <x:mergeCell ref="B127:F127"/>
    <x:mergeCell ref="A129:F129"/>
    <x:mergeCell ref="B130:F130"/>
    <x:mergeCell ref="B131:F131"/>
    <x:mergeCell ref="B132:F132"/>
    <x:mergeCell ref="B133:F133"/>
    <x:mergeCell ref="B134:F134"/>
    <x:mergeCell ref="B135:F135"/>
    <x:mergeCell ref="B136:F136"/>
    <x:mergeCell ref="B137:F137"/>
    <x:mergeCell ref="A139:F139"/>
    <x:mergeCell ref="B140:F140"/>
    <x:mergeCell ref="B141:F141"/>
    <x:mergeCell ref="B142:F142"/>
    <x:mergeCell ref="B143:F143"/>
    <x:mergeCell ref="B144:F144"/>
    <x:mergeCell ref="B145:F145"/>
    <x:mergeCell ref="B146:F146"/>
    <x:mergeCell ref="B147:F147"/>
    <x:mergeCell ref="B148:F148"/>
    <x:mergeCell ref="A150:F150"/>
    <x:mergeCell ref="B151:F151"/>
    <x:mergeCell ref="B152:F152"/>
    <x:mergeCell ref="B153:F153"/>
    <x:mergeCell ref="B154:F154"/>
    <x:mergeCell ref="B155:F155"/>
    <x:mergeCell ref="B156:F156"/>
    <x:mergeCell ref="B157:F157"/>
    <x:mergeCell ref="B158:F158"/>
    <x:mergeCell ref="A160:F160"/>
    <x:mergeCell ref="B161:F161"/>
    <x:mergeCell ref="B162:F162"/>
    <x:mergeCell ref="B163:F163"/>
    <x:mergeCell ref="B164:F164"/>
    <x:mergeCell ref="B165:F165"/>
    <x:mergeCell ref="B166:F166"/>
    <x:mergeCell ref="B167:F167"/>
  </x:mergeCells>
  <x:pageMargins left="0.7" right="0.7" top="0.75" bottom="0.75" header="0.3" footer="0.3"/>
</x:worksheet>
</file>

<file path=xl/worksheets/sheet21.xml><?xml version="1.0" encoding="utf-8"?>
<x:worksheet xmlns:x="http://schemas.openxmlformats.org/spreadsheetml/2006/main">
  <x:sheetFormatPr defaultRowHeight="15"/>
  <x:cols>
    <x:col min="1" max="1" width="29"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04" t="str">
        <x:v>Domestic Research Sources — Contacts &amp; Exact Requests</x:v>
      </x:c>
      <x:c r="B1" s="304"/>
      <x:c r="C1" s="304"/>
      <x:c r="D1" s="304"/>
      <x:c r="E1" s="304"/>
      <x:c r="F1" s="304"/>
      <x:c r="G1" s="304"/>
      <x:c r="H1" s="304"/>
    </x:row>
    <x:row r="2" ht="28" customHeight="1">
      <x:c r="A2" s="307" t="str">
        <x:v>15 Sep 2026 • Eight source routes. Published contact details rechecked; no email deliverability test, new sending, or full inbox audit. Drafts are not recorded as sent.</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26" customHeight="1">
      <x:c r="A5" s="309" t="str">
        <x:v>DOM-NASA | NASA — SCaN</x:v>
      </x:c>
      <x:c r="B5" s="309"/>
      <x:c r="C5" s="309"/>
      <x:c r="D5" s="309"/>
      <x:c r="E5" s="309"/>
      <x:c r="F5" s="309"/>
      <x:c r="G5" s="309"/>
      <x:c r="H5" s="309"/>
    </x:row>
    <x:row r="6" ht="28" customHeight="1">
      <x:c r="A6" s="313" t="str">
        <x:v>Named contact</x:v>
      </x:c>
      <x:c r="B6" s="311" t="str">
        <x:v>SCaN inquiry team</x:v>
      </x:c>
      <x:c r="C6" s="311"/>
      <x:c r="D6" s="311"/>
      <x:c r="E6" s="311"/>
      <x:c r="F6" s="311"/>
      <x:c r="G6" s="311"/>
      <x:c r="H6" s="311"/>
    </x:row>
    <x:row r="7" ht="28" customHeight="1">
      <x:c r="A7" s="313" t="str">
        <x:v>Email / telephone</x:v>
      </x:c>
      <x:c r="B7" s="311" t="str">
        <x:v>scan@nasa.gov</x:v>
      </x:c>
      <x:c r="C7" s="311"/>
      <x:c r="D7" s="311"/>
      <x:c r="E7" s="311"/>
      <x:c r="F7" s="311"/>
      <x:c r="G7" s="311"/>
      <x:c r="H7" s="311"/>
    </x:row>
    <x:row r="8" ht="28" customHeight="1">
      <x:c r="A8" s="313" t="str">
        <x:v>Research role</x:v>
      </x:c>
      <x:c r="B8" s="311" t="str">
        <x:v>Architecture reference; inquiry for measured communications performance and referrals.</x:v>
      </x:c>
      <x:c r="C8" s="311"/>
      <x:c r="D8" s="311"/>
      <x:c r="E8" s="311"/>
      <x:c r="F8" s="311"/>
      <x:c r="G8" s="311"/>
      <x:c r="H8" s="311"/>
    </x:row>
    <x:row r="9" ht="28" customHeight="1">
      <x:c r="A9" s="313" t="str">
        <x:v>Access posture</x:v>
      </x:c>
      <x:c r="B9" s="314" t="str">
        <x:v>Public documents; performance logs not confirmed.</x:v>
      </x:c>
      <x:c r="C9" s="314"/>
      <x:c r="D9" s="314"/>
      <x:c r="E9" s="314"/>
      <x:c r="F9" s="314"/>
      <x:c r="G9" s="314"/>
      <x:c r="H9" s="314"/>
    </x:row>
    <x:row r="10" ht="50" customHeight="1">
      <x:c r="A10" s="313" t="str">
        <x:v>Explicit measurements / ask</x:v>
      </x:c>
      <x:c r="B10" s="311" t="str">
        <x:v>Existing public RTT/one-way delay, connection status, uptime/downtime, interruption start/end, recovery, loss, throughput, queue/processing delay, contact windows and handovers. Request testbed/network custodian referral where necessary.</x:v>
      </x:c>
      <x:c r="C10" s="311"/>
      <x:c r="D10" s="311"/>
      <x:c r="E10" s="311"/>
      <x:c r="F10" s="311"/>
      <x:c r="G10" s="311"/>
      <x:c r="H10" s="311"/>
    </x:row>
    <x:row r="11" ht="36" customHeight="1">
      <x:c r="A11" s="313" t="str">
        <x:v>Additional scope / caution</x:v>
      </x:c>
      <x:c r="B11" s="311" t="str">
        <x:v>Request public onboard scheduling/prioritization/routing results and event-to-response timing. Do not treat architecture descriptions as measurements.</x:v>
      </x:c>
      <x:c r="C11" s="311"/>
      <x:c r="D11" s="311"/>
      <x:c r="E11" s="311"/>
      <x:c r="F11" s="311"/>
      <x:c r="G11" s="311"/>
      <x:c r="H11" s="311"/>
    </x:row>
    <x:row r="12" ht="50" customHeight="1">
      <x:c r="A12" s="313" t="str">
        <x:v>Sampling / citation requirements</x:v>
      </x:c>
      <x:c r="B12" s="311" t="str">
        <x:v>Request a small existing downloadable sample or repository/API link, observation date range, endpoints, UTC/timezone, units, cadence, quality flags, missing-versus-outage rules, dataset version/DOI, preferred citation and research-use terms. Public/non-CUI only.</x:v>
      </x:c>
      <x:c r="C12" s="311"/>
      <x:c r="D12" s="311"/>
      <x:c r="E12" s="311"/>
      <x:c r="F12" s="311"/>
      <x:c r="G12" s="311"/>
      <x:c r="H12" s="311"/>
    </x:row>
    <x:row r="13" ht="28" customHeight="1">
      <x:c r="A13" s="313" t="str">
        <x:v>Contact verification URL</x:v>
      </x:c>
      <x:c r="B13" s="311" t="str">
        <x:v>https://www.nasa.gov/directorates/somd/space-communications-navigation-program/contact-scan/</x:v>
      </x:c>
      <x:c r="C13" s="311"/>
      <x:c r="D13" s="311"/>
      <x:c r="E13" s="311"/>
      <x:c r="F13" s="311"/>
      <x:c r="G13" s="311"/>
      <x:c r="H13" s="311"/>
    </x:row>
    <x:row r="14" ht="28" customHeight="1">
      <x:c r="A14" s="313" t="str">
        <x:v>Data / document locator</x:v>
      </x:c>
      <x:c r="B14" s="311" t="str">
        <x:v>https://www.nasa.gov/wp-content/uploads/2023/09/scan-add-vol1rev4.pdf</x:v>
      </x:c>
      <x:c r="C14" s="311"/>
      <x:c r="D14" s="311"/>
      <x:c r="E14" s="311"/>
      <x:c r="F14" s="311"/>
      <x:c r="G14" s="311"/>
      <x:c r="H14" s="311"/>
    </x:row>
    <x:row r="15" ht="28" customHeight="1">
      <x:c r="A15" s="313" t="str">
        <x:v>Outreach status</x:v>
      </x:c>
      <x:c r="B15" s="311" t="str">
        <x:v>Inquiry drafted in conversation; sending and response not established.</x:v>
      </x:c>
      <x:c r="C15" s="311"/>
      <x:c r="D15" s="311"/>
      <x:c r="E15" s="311"/>
      <x:c r="F15" s="311"/>
      <x:c r="G15" s="311"/>
      <x:c r="H15" s="311"/>
    </x:row>
    <x:row r="16" ht="28" customHeight="1">
      <x:c r="A16" s="313" t="str">
        <x:v>Recorded / checked</x:v>
      </x:c>
      <x:c r="B16" s="311" t="str">
        <x:v>15 Sep 2026 — selected primary contact/metadata pages only.</x:v>
      </x:c>
      <x:c r="C16" s="311"/>
      <x:c r="D16" s="311"/>
      <x:c r="E16" s="311"/>
      <x:c r="F16" s="311"/>
      <x:c r="G16" s="311"/>
      <x:c r="H16" s="311"/>
    </x:row>
    <x:row r="17">
      <x:c r="A17" s="112"/>
      <x:c r="B17" s="112"/>
      <x:c r="C17" s="112"/>
      <x:c r="D17" s="112"/>
      <x:c r="E17" s="112"/>
      <x:c r="F17" s="112"/>
      <x:c r="G17" s="112"/>
      <x:c r="H17" s="112"/>
    </x:row>
    <x:row r="18" ht="26" customHeight="1">
      <x:c r="A18" s="309" t="str">
        <x:v>DOM-JPL | NASA/JPL — Artificial Intelligence Group</x:v>
      </x:c>
      <x:c r="B18" s="309"/>
      <x:c r="C18" s="309"/>
      <x:c r="D18" s="309"/>
      <x:c r="E18" s="309"/>
      <x:c r="F18" s="309"/>
      <x:c r="G18" s="309"/>
      <x:c r="H18" s="309"/>
    </x:row>
    <x:row r="19" ht="28" customHeight="1">
      <x:c r="A19" s="313" t="str">
        <x:v>Named contact</x:v>
      </x:c>
      <x:c r="B19" s="311" t="str">
        <x:v>Dr. Steve Chien</x:v>
      </x:c>
      <x:c r="C19" s="311"/>
      <x:c r="D19" s="311"/>
      <x:c r="E19" s="311"/>
      <x:c r="F19" s="311"/>
      <x:c r="G19" s="311"/>
      <x:c r="H19" s="311"/>
    </x:row>
    <x:row r="20" ht="28" customHeight="1">
      <x:c r="A20" s="313" t="str">
        <x:v>Email / telephone</x:v>
      </x:c>
      <x:c r="B20" s="311" t="str">
        <x:v>Steve.Chien@jpl.nasa.gov</x:v>
      </x:c>
      <x:c r="C20" s="311"/>
      <x:c r="D20" s="311"/>
      <x:c r="E20" s="311"/>
      <x:c r="F20" s="311"/>
      <x:c r="G20" s="311"/>
      <x:c r="H20" s="311"/>
    </x:row>
    <x:row r="21" ht="28" customHeight="1">
      <x:c r="A21" s="313" t="str">
        <x:v>Research role</x:v>
      </x:c>
      <x:c r="B21" s="311" t="str">
        <x:v>Onboard planning, task scheduling, execution and decision-support evidence.</x:v>
      </x:c>
      <x:c r="C21" s="311"/>
      <x:c r="D21" s="311"/>
      <x:c r="E21" s="311"/>
      <x:c r="F21" s="311"/>
      <x:c r="G21" s="311"/>
      <x:c r="H21" s="311"/>
    </x:row>
    <x:row r="22" ht="28" customHeight="1">
      <x:c r="A22" s="313" t="str">
        <x:v>Access posture</x:v>
      </x:c>
      <x:c r="B22" s="315" t="str">
        <x:v>Public researcher/project information; execution logs and datasets require inquiry.</x:v>
      </x:c>
      <x:c r="C22" s="315"/>
      <x:c r="D22" s="315"/>
      <x:c r="E22" s="315"/>
      <x:c r="F22" s="315"/>
      <x:c r="G22" s="315"/>
      <x:c r="H22" s="315"/>
    </x:row>
    <x:row r="23" ht="50" customHeight="1">
      <x:c r="A23" s="313" t="str">
        <x:v>Explicit measurements / ask</x:v>
      </x:c>
      <x:c r="B23" s="311" t="str">
        <x:v>Public observation/detection, planning, task arrival/start/completion and execution timestamps; queue/inference times; processing/resource limits; replanning, recovery, alerts sent to ground and intervention counts. Ask separately for linked latency/availability/loss traces.</x:v>
      </x:c>
      <x:c r="C23" s="311"/>
      <x:c r="D23" s="311"/>
      <x:c r="E23" s="311"/>
      <x:c r="F23" s="311"/>
      <x:c r="G23" s="311"/>
      <x:c r="H23" s="311"/>
    </x:row>
    <x:row r="24" ht="50" customHeight="1">
      <x:c r="A24" s="313" t="str">
        <x:v>Additional scope / caution</x:v>
      </x:c>
      <x:c r="B24" s="311" t="str">
        <x:v>OODA and operator-workflow evidence: distinguish event timing, fewer alerts and intervention counts from direct cognitive-workload measurements. A relevant scientist is not a data-delivery commitment.</x:v>
      </x:c>
      <x:c r="C24" s="311"/>
      <x:c r="D24" s="311"/>
      <x:c r="E24" s="311"/>
      <x:c r="F24" s="311"/>
      <x:c r="G24" s="311"/>
      <x:c r="H24" s="311"/>
    </x:row>
    <x:row r="25" ht="50" customHeight="1">
      <x:c r="A25" s="313" t="str">
        <x:v>Sampling / citation requirements</x:v>
      </x:c>
      <x:c r="B25" s="311" t="str">
        <x:v>Request a small existing downloadable sample or repository/API link, observation date range, endpoints, UTC/timezone, units, cadence, quality flags, missing-versus-outage rules, dataset version/DOI, preferred citation and research-use terms. Public/non-CUI only.</x:v>
      </x:c>
      <x:c r="C25" s="311"/>
      <x:c r="D25" s="311"/>
      <x:c r="E25" s="311"/>
      <x:c r="F25" s="311"/>
      <x:c r="G25" s="311"/>
      <x:c r="H25" s="311"/>
    </x:row>
    <x:row r="26" ht="28" customHeight="1">
      <x:c r="A26" s="313" t="str">
        <x:v>Contact verification URL</x:v>
      </x:c>
      <x:c r="B26" s="311" t="str">
        <x:v>https://ai.jpl.nasa.gov/public/people/chien/</x:v>
      </x:c>
      <x:c r="C26" s="311"/>
      <x:c r="D26" s="311"/>
      <x:c r="E26" s="311"/>
      <x:c r="F26" s="311"/>
      <x:c r="G26" s="311"/>
      <x:c r="H26" s="311"/>
    </x:row>
    <x:row r="27" ht="28" customHeight="1">
      <x:c r="A27" s="313" t="str">
        <x:v>Data / document locator</x:v>
      </x:c>
      <x:c r="B27" s="311" t="str">
        <x:v>https://ai.jpl.nasa.gov/public/people/chien/</x:v>
      </x:c>
      <x:c r="C27" s="311"/>
      <x:c r="D27" s="311"/>
      <x:c r="E27" s="311"/>
      <x:c r="F27" s="311"/>
      <x:c r="G27" s="311"/>
      <x:c r="H27" s="311"/>
    </x:row>
    <x:row r="28" ht="28" customHeight="1">
      <x:c r="A28" s="313" t="str">
        <x:v>Outreach status</x:v>
      </x:c>
      <x:c r="B28" s="311" t="str">
        <x:v>Inquiry drafted in conversation; sending and response not established.</x:v>
      </x:c>
      <x:c r="C28" s="311"/>
      <x:c r="D28" s="311"/>
      <x:c r="E28" s="311"/>
      <x:c r="F28" s="311"/>
      <x:c r="G28" s="311"/>
      <x:c r="H28" s="311"/>
    </x:row>
    <x:row r="29" ht="28" customHeight="1">
      <x:c r="A29" s="313" t="str">
        <x:v>Recorded / checked</x:v>
      </x:c>
      <x:c r="B29" s="311" t="str">
        <x:v>15 Sep 2026 — selected primary contact/metadata pages only.</x:v>
      </x:c>
      <x:c r="C29" s="311"/>
      <x:c r="D29" s="311"/>
      <x:c r="E29" s="311"/>
      <x:c r="F29" s="311"/>
      <x:c r="G29" s="311"/>
      <x:c r="H29" s="311"/>
    </x:row>
    <x:row r="30">
      <x:c r="A30" s="112"/>
      <x:c r="B30" s="112"/>
      <x:c r="C30" s="112"/>
      <x:c r="D30" s="112"/>
      <x:c r="E30" s="112"/>
      <x:c r="F30" s="112"/>
      <x:c r="G30" s="112"/>
      <x:c r="H30" s="112"/>
    </x:row>
    <x:row r="31" ht="26" customHeight="1">
      <x:c r="A31" s="309" t="str">
        <x:v>DOM-NOAA | NOAA — Space Weather Prediction Center</x:v>
      </x:c>
      <x:c r="B31" s="309"/>
      <x:c r="C31" s="309"/>
      <x:c r="D31" s="309"/>
      <x:c r="E31" s="309"/>
      <x:c r="F31" s="309"/>
      <x:c r="G31" s="309"/>
      <x:c r="H31" s="309"/>
    </x:row>
    <x:row r="32" ht="28" customHeight="1">
      <x:c r="A32" s="313" t="str">
        <x:v>Named contact</x:v>
      </x:c>
      <x:c r="B32" s="311" t="str">
        <x:v>SWPC Customer Support</x:v>
      </x:c>
      <x:c r="C32" s="311"/>
      <x:c r="D32" s="311"/>
      <x:c r="E32" s="311"/>
      <x:c r="F32" s="311"/>
      <x:c r="G32" s="311"/>
      <x:c r="H32" s="311"/>
    </x:row>
    <x:row r="33" ht="28" customHeight="1">
      <x:c r="A33" s="313" t="str">
        <x:v>Email / telephone</x:v>
      </x:c>
      <x:c r="B33" s="311" t="str">
        <x:v>swpc.customersupport@noaa.gov</x:v>
      </x:c>
      <x:c r="C33" s="311"/>
      <x:c r="D33" s="311"/>
      <x:c r="E33" s="311"/>
      <x:c r="F33" s="311"/>
      <x:c r="G33" s="311"/>
      <x:c r="H33" s="311"/>
    </x:row>
    <x:row r="34" ht="28" customHeight="1">
      <x:c r="A34" s="313" t="str">
        <x:v>Research role</x:v>
      </x:c>
      <x:c r="B34" s="311" t="str">
        <x:v>Space-weather observations and alerts; communications-impact/referral inquiry.</x:v>
      </x:c>
      <x:c r="C34" s="311"/>
      <x:c r="D34" s="311"/>
      <x:c r="E34" s="311"/>
      <x:c r="F34" s="311"/>
      <x:c r="G34" s="311"/>
      <x:c r="H34" s="311"/>
    </x:row>
    <x:row r="35" ht="28" customHeight="1">
      <x:c r="A35" s="313" t="str">
        <x:v>Access posture</x:v>
      </x:c>
      <x:c r="B35" s="315" t="str">
        <x:v>Public products; selected fields/history and archive routes to inspect.</x:v>
      </x:c>
      <x:c r="C35" s="315"/>
      <x:c r="D35" s="315"/>
      <x:c r="E35" s="315"/>
      <x:c r="F35" s="315"/>
      <x:c r="G35" s="315"/>
      <x:c r="H35" s="315"/>
    </x:row>
    <x:row r="36" ht="50" customHeight="1">
      <x:c r="A36" s="313" t="str">
        <x:v>Explicit measurements / ask</x:v>
      </x:c>
      <x:c r="B36" s="311" t="str">
        <x:v>Explicitly request measured latency, loss, throughput, availability, outages, downtime and recovery associated with events; where not held, request custodian referral. Separately request geomagnetic/solar/ionospheric records and alert onset/issue/update/cancellation times.</x:v>
      </x:c>
      <x:c r="C36" s="311"/>
      <x:c r="D36" s="311"/>
      <x:c r="E36" s="311"/>
      <x:c r="F36" s="311"/>
      <x:c r="G36" s="311"/>
      <x:c r="H36" s="311"/>
    </x:row>
    <x:row r="37" ht="50" customHeight="1">
      <x:c r="A37" s="313" t="str">
        <x:v>Additional scope / caution</x:v>
      </x:c>
      <x:c r="B37" s="311" t="str">
        <x:v>Published email corroborated in NOAA material, but publication age is visible and delivery untested; use current SWPC contact form if required. Forecast impacts, observed impacts and network metrics remain separate.</x:v>
      </x:c>
      <x:c r="C37" s="311"/>
      <x:c r="D37" s="311"/>
      <x:c r="E37" s="311"/>
      <x:c r="F37" s="311"/>
      <x:c r="G37" s="311"/>
      <x:c r="H37" s="311"/>
    </x:row>
    <x:row r="38" ht="50" customHeight="1">
      <x:c r="A38" s="313" t="str">
        <x:v>Sampling / citation requirements</x:v>
      </x:c>
      <x:c r="B38" s="311" t="str">
        <x:v>Request a small existing downloadable sample or repository/API link, observation date range, endpoints, UTC/timezone, units, cadence, quality flags, missing-versus-outage rules, dataset version/DOI, preferred citation and research-use terms. Public/non-CUI only.</x:v>
      </x:c>
      <x:c r="C38" s="311"/>
      <x:c r="D38" s="311"/>
      <x:c r="E38" s="311"/>
      <x:c r="F38" s="311"/>
      <x:c r="G38" s="311"/>
      <x:c r="H38" s="311"/>
    </x:row>
    <x:row r="39" ht="28" customHeight="1">
      <x:c r="A39" s="313" t="str">
        <x:v>Contact verification URL</x:v>
      </x:c>
      <x:c r="B39" s="311" t="str">
        <x:v>https://www.spaceweather.gov/news/swpc-legacy-website-removal-5-september-2018</x:v>
      </x:c>
      <x:c r="C39" s="311"/>
      <x:c r="D39" s="311"/>
      <x:c r="E39" s="311"/>
      <x:c r="F39" s="311"/>
      <x:c r="G39" s="311"/>
      <x:c r="H39" s="311"/>
    </x:row>
    <x:row r="40" ht="28" customHeight="1">
      <x:c r="A40" s="313" t="str">
        <x:v>Data / document locator</x:v>
      </x:c>
      <x:c r="B40" s="311" t="str">
        <x:v>https://services.swpc.noaa.gov/</x:v>
      </x:c>
      <x:c r="C40" s="311"/>
      <x:c r="D40" s="311"/>
      <x:c r="E40" s="311"/>
      <x:c r="F40" s="311"/>
      <x:c r="G40" s="311"/>
      <x:c r="H40" s="311"/>
    </x:row>
    <x:row r="41" ht="28" customHeight="1">
      <x:c r="A41" s="313" t="str">
        <x:v>Outreach status</x:v>
      </x:c>
      <x:c r="B41" s="311" t="str">
        <x:v>Inquiry drafted in conversation; sending and response not established.</x:v>
      </x:c>
      <x:c r="C41" s="311"/>
      <x:c r="D41" s="311"/>
      <x:c r="E41" s="311"/>
      <x:c r="F41" s="311"/>
      <x:c r="G41" s="311"/>
      <x:c r="H41" s="311"/>
    </x:row>
    <x:row r="42" ht="28" customHeight="1">
      <x:c r="A42" s="313" t="str">
        <x:v>Recorded / checked</x:v>
      </x:c>
      <x:c r="B42" s="311" t="str">
        <x:v>15 Sep 2026 — selected primary contact/metadata pages only.</x:v>
      </x:c>
      <x:c r="C42" s="311"/>
      <x:c r="D42" s="311"/>
      <x:c r="E42" s="311"/>
      <x:c r="F42" s="311"/>
      <x:c r="G42" s="311"/>
      <x:c r="H42" s="311"/>
    </x:row>
    <x:row r="43">
      <x:c r="A43" s="112"/>
      <x:c r="B43" s="112"/>
      <x:c r="C43" s="112"/>
      <x:c r="D43" s="112"/>
      <x:c r="E43" s="112"/>
      <x:c r="F43" s="112"/>
      <x:c r="G43" s="112"/>
      <x:c r="H43" s="112"/>
    </x:row>
    <x:row r="44" ht="26" customHeight="1">
      <x:c r="A44" s="309" t="str">
        <x:v>DOM-NCEI-SW | NOAA NCEI — Space Weather / Geophysics</x:v>
      </x:c>
      <x:c r="B44" s="309"/>
      <x:c r="C44" s="309"/>
      <x:c r="D44" s="309"/>
      <x:c r="E44" s="309"/>
      <x:c r="F44" s="309"/>
      <x:c r="G44" s="309"/>
      <x:c r="H44" s="309"/>
    </x:row>
    <x:row r="45" ht="68" customHeight="1">
      <x:c r="A45" s="313" t="str">
        <x:v>Named contact</x:v>
      </x:c>
      <x:c r="B45" s="311" t="str">
        <x:v>Josh Riley — CIRES, University of Colorado Boulder; embedded at NOAA National Centers for Environmental Information (NCEI). No direct personal email shown; use ncei.info@noaa.gov.</x:v>
      </x:c>
      <x:c r="C45" s="311"/>
      <x:c r="D45" s="311"/>
      <x:c r="E45" s="311"/>
      <x:c r="F45" s="311"/>
      <x:c r="G45" s="311"/>
      <x:c r="H45" s="311"/>
    </x:row>
    <x:row r="46" ht="68" customHeight="1">
      <x:c r="A46" s="313" t="str">
        <x:v>Email / telephone</x:v>
      </x:c>
      <x:c r="B46" s="311" t="str">
        <x:v>ncei.info@noaa.gov | public NCEI routing inbox. No direct phone supplied in the reply.</x:v>
      </x:c>
      <x:c r="C46" s="311"/>
      <x:c r="D46" s="311"/>
      <x:c r="E46" s="311"/>
      <x:c r="F46" s="311"/>
      <x:c r="G46" s="311"/>
      <x:c r="H46" s="311"/>
    </x:row>
    <x:row r="47" ht="68" customHeight="1">
      <x:c r="A47" s="313" t="str">
        <x:v>Research role</x:v>
      </x:c>
      <x:c r="B47" s="311" t="str">
        <x:v>Environmental archive support. NCEI explicitly does not archive engineering-level satellite/ground-network latency, uptime/downtime, recovery, packet-loss, throughput or queueing records.</x:v>
      </x:c>
      <x:c r="C47" s="311"/>
      <x:c r="D47" s="311"/>
      <x:c r="E47" s="311"/>
      <x:c r="F47" s="311"/>
      <x:c r="G47" s="311"/>
      <x:c r="H47" s="311"/>
    </x:row>
    <x:row r="48" ht="68" customHeight="1">
      <x:c r="A48" s="313" t="str">
        <x:v>Access posture</x:v>
      </x:c>
      <x:c r="B48" s="315" t="str">
        <x:v>Public product pages/directories verified. EXIS XRS annual NetCDF directory reached; GloTEC download route is a dynamic JavaScript portal; numerical samples still to import.</x:v>
      </x:c>
      <x:c r="C48" s="315"/>
      <x:c r="D48" s="315"/>
      <x:c r="E48" s="315"/>
      <x:c r="F48" s="315"/>
      <x:c r="G48" s="315"/>
      <x:c r="H48" s="315"/>
    </x:row>
    <x:row r="49" ht="68" customHeight="1">
      <x:c r="A49" s="313" t="str">
        <x:v>Explicit measurements / ask</x:v>
      </x:c>
      <x:c r="B49" s="311" t="str">
        <x:v>Josh recommends EXIS XRS/EUVS 1-minute products for timestamped disturbance onset; GloTEC and ionosonde for ionospheric disruption; Space Weather Event Reports / SGAS for documented event timing.</x:v>
      </x:c>
      <x:c r="C49" s="311"/>
      <x:c r="D49" s="311"/>
      <x:c r="E49" s="311"/>
      <x:c r="F49" s="311"/>
      <x:c r="G49" s="311"/>
      <x:c r="H49" s="311"/>
    </x:row>
    <x:row r="50" ht="68" customHeight="1">
      <x:c r="A50" s="313" t="str">
        <x:v>Additional scope / caution</x:v>
      </x:c>
      <x:c r="B50" s="311" t="str">
        <x:v>Do not confuse NOAA/Mirrion data-pipeline 'latency' with satellite-link latency. Missing environmental records or instrument gaps are not communications outages. NCEI maintenance Sep16 02:00–12:00 Eastern may affect access.</x:v>
      </x:c>
      <x:c r="C50" s="311"/>
      <x:c r="D50" s="311"/>
      <x:c r="E50" s="311"/>
      <x:c r="F50" s="311"/>
      <x:c r="G50" s="311"/>
      <x:c r="H50" s="311"/>
    </x:row>
    <x:row r="51" ht="68" customHeight="1">
      <x:c r="A51" s="313" t="str">
        <x:v>Sampling / citation requirements</x:v>
      </x:c>
      <x:c r="B51" s="311" t="str">
        <x:v>EXIS documentation and annual XRS directory verified; Event Reports archive verified from 2011 through current 2026 folders. GloTEC product page documents US-TEC 2004–2023 and GloTEC Feb2025–present. Citation preference still not explicitly supplied by Josh.</x:v>
      </x:c>
      <x:c r="C51" s="311"/>
      <x:c r="D51" s="311"/>
      <x:c r="E51" s="311"/>
      <x:c r="F51" s="311"/>
      <x:c r="G51" s="311"/>
      <x:c r="H51" s="311"/>
    </x:row>
    <x:row r="52" ht="68" customHeight="1">
      <x:c r="A52" s="313" t="str">
        <x:v>Contact verification URL</x:v>
      </x:c>
      <x:c r="B52" s="311" t="str">
        <x:v>https://www.ncei.noaa.gov/contact</x:v>
      </x:c>
      <x:c r="C52" s="311"/>
      <x:c r="D52" s="311"/>
      <x:c r="E52" s="311"/>
      <x:c r="F52" s="311"/>
      <x:c r="G52" s="311"/>
      <x:c r="H52" s="311"/>
    </x:row>
    <x:row r="53" ht="68" customHeight="1">
      <x:c r="A53" s="313" t="str">
        <x:v>Data / document locator</x:v>
      </x:c>
      <x:c r="B53" s="311" t="str">
        <x:v>https://www.ncei.noaa.gov/products/goes-r-extreme-ultraviolet-xray-irradiance
https://www.ncei.noaa.gov/products/space-weather/ionospheric-program/total-electron-content
https://www.ncei.noaa.gov/products/space-weather/legacy-data/mirrion-2-real-time-ionosonde
https://www.ngdc.noaa.gov/stp/space-weather/swpc-products/daily_reports/space_weather_event_reports/
https://www.spaceweather.gov/products/solar-and-geophysical-activity-summary</x:v>
      </x:c>
      <x:c r="C53" s="311"/>
      <x:c r="D53" s="311"/>
      <x:c r="E53" s="311"/>
      <x:c r="F53" s="311"/>
      <x:c r="G53" s="311"/>
      <x:c r="H53" s="311"/>
    </x:row>
    <x:row r="54" ht="68" customHeight="1">
      <x:c r="A54" s="313" t="str">
        <x:v>Outreach status</x:v>
      </x:c>
      <x:c r="B54" s="311" t="str">
        <x:v>RESPONDED TWICE — 15 Sep. First reply set scope; second reply at 15:01 supplied specific starter products and archives. Josh's replies remain screenshot evidence; NAC forward is the original request.</x:v>
      </x:c>
      <x:c r="C54" s="311"/>
      <x:c r="D54" s="311"/>
      <x:c r="E54" s="311"/>
      <x:c r="F54" s="311"/>
      <x:c r="G54" s="311"/>
      <x:c r="H54" s="311"/>
    </x:row>
    <x:row r="55" ht="68" customHeight="1">
      <x:c r="A55" s="313" t="str">
        <x:v>Recorded / checked</x:v>
      </x:c>
      <x:c r="B55" s="311" t="str">
        <x:v>15 Sep 2026 — second-response product routes checked; no direct network records and no numerical environmental file yet advanced to evidence stage 3.</x:v>
      </x:c>
      <x:c r="C55" s="311"/>
      <x:c r="D55" s="311"/>
      <x:c r="E55" s="311"/>
      <x:c r="F55" s="311"/>
      <x:c r="G55" s="311"/>
      <x:c r="H55" s="311"/>
    </x:row>
    <x:row r="56">
      <x:c r="A56" s="112"/>
      <x:c r="B56" s="112"/>
      <x:c r="C56" s="112"/>
      <x:c r="D56" s="112"/>
      <x:c r="E56" s="112"/>
      <x:c r="F56" s="112"/>
      <x:c r="G56" s="112"/>
      <x:c r="H56" s="112"/>
    </x:row>
    <x:row r="57" ht="26" customHeight="1">
      <x:c r="A57" s="309" t="str">
        <x:v>DOM-NCEI-WX | NOAA NCEI — Climate / Past Weather</x:v>
      </x:c>
      <x:c r="B57" s="309"/>
      <x:c r="C57" s="309"/>
      <x:c r="D57" s="309"/>
      <x:c r="E57" s="309"/>
      <x:c r="F57" s="309"/>
      <x:c r="G57" s="309"/>
      <x:c r="H57" s="309"/>
    </x:row>
    <x:row r="58" ht="28" customHeight="1">
      <x:c r="A58" s="313" t="str">
        <x:v>Named contact</x:v>
      </x:c>
      <x:c r="B58" s="311" t="str">
        <x:v>NCEI past-weather and data-order team</x:v>
      </x:c>
      <x:c r="C58" s="311"/>
      <x:c r="D58" s="311"/>
      <x:c r="E58" s="311"/>
      <x:c r="F58" s="311"/>
      <x:c r="G58" s="311"/>
      <x:c r="H58" s="311"/>
    </x:row>
    <x:row r="59" ht="28" customHeight="1">
      <x:c r="A59" s="313" t="str">
        <x:v>Email / telephone</x:v>
      </x:c>
      <x:c r="B59" s="311" t="str">
        <x:v>ncei.orders@noaa.gov | +1 828-271-4800 (press 1)</x:v>
      </x:c>
      <x:c r="C59" s="311"/>
      <x:c r="D59" s="311"/>
      <x:c r="E59" s="311"/>
      <x:c r="F59" s="311"/>
      <x:c r="G59" s="311"/>
      <x:c r="H59" s="311"/>
    </x:row>
    <x:row r="60" ht="28" customHeight="1">
      <x:c r="A60" s="313" t="str">
        <x:v>Research role</x:v>
      </x:c>
      <x:c r="B60" s="311" t="str">
        <x:v>Ground-site environmental observations; communications-impact referral.</x:v>
      </x:c>
      <x:c r="C60" s="311"/>
      <x:c r="D60" s="311"/>
      <x:c r="E60" s="311"/>
      <x:c r="F60" s="311"/>
      <x:c r="G60" s="311"/>
      <x:c r="H60" s="311"/>
    </x:row>
    <x:row r="61" ht="28" customHeight="1">
      <x:c r="A61" s="313" t="str">
        <x:v>Access posture</x:v>
      </x:c>
      <x:c r="B61" s="315" t="str">
        <x:v>Public catalog; select product/station/date and inspect access.</x:v>
      </x:c>
      <x:c r="C61" s="315"/>
      <x:c r="D61" s="315"/>
      <x:c r="E61" s="315"/>
      <x:c r="F61" s="315"/>
      <x:c r="G61" s="315"/>
      <x:c r="H61" s="315"/>
    </x:row>
    <x:row r="62" ht="50" customHeight="1">
      <x:c r="A62" s="313" t="str">
        <x:v>Explicit measurements / ask</x:v>
      </x:c>
      <x:c r="B62" s="311" t="str">
        <x:v>Timestamped rain, wind, temperature, humidity, visibility, cloud and station metadata for selected ground sites. Explicitly ask for associated latency, packet loss, throughput, outages/downtime/recovery if held, otherwise a data-owner referral.</x:v>
      </x:c>
      <x:c r="C62" s="311"/>
      <x:c r="D62" s="311"/>
      <x:c r="E62" s="311"/>
      <x:c r="F62" s="311"/>
      <x:c r="G62" s="311"/>
      <x:c r="H62" s="311"/>
    </x:row>
    <x:row r="63" ht="36" customHeight="1">
      <x:c r="A63" s="313" t="str">
        <x:v>Additional scope / caution</x:v>
      </x:c>
      <x:c r="B63" s="311" t="str">
        <x:v>Weather severity is not evidence of communications outage. Station/product selection and any environment-to-performance mapping require justification.</x:v>
      </x:c>
      <x:c r="C63" s="311"/>
      <x:c r="D63" s="311"/>
      <x:c r="E63" s="311"/>
      <x:c r="F63" s="311"/>
      <x:c r="G63" s="311"/>
      <x:c r="H63" s="311"/>
    </x:row>
    <x:row r="64" ht="50" customHeight="1">
      <x:c r="A64" s="313" t="str">
        <x:v>Sampling / citation requirements</x:v>
      </x:c>
      <x:c r="B64" s="311" t="str">
        <x:v>Request a small existing downloadable sample or repository/API link, observation date range, endpoints, UTC/timezone, units, cadence, quality flags, missing-versus-outage rules, dataset version/DOI, preferred citation and research-use terms. Public/non-CUI only.</x:v>
      </x:c>
      <x:c r="C64" s="311"/>
      <x:c r="D64" s="311"/>
      <x:c r="E64" s="311"/>
      <x:c r="F64" s="311"/>
      <x:c r="G64" s="311"/>
      <x:c r="H64" s="311"/>
    </x:row>
    <x:row r="65" ht="28" customHeight="1">
      <x:c r="A65" s="313" t="str">
        <x:v>Contact verification URL</x:v>
      </x:c>
      <x:c r="B65" s="311" t="str">
        <x:v>https://www.ncei.noaa.gov/contact</x:v>
      </x:c>
      <x:c r="C65" s="311"/>
      <x:c r="D65" s="311"/>
      <x:c r="E65" s="311"/>
      <x:c r="F65" s="311"/>
      <x:c r="G65" s="311"/>
      <x:c r="H65" s="311"/>
    </x:row>
    <x:row r="66" ht="28" customHeight="1">
      <x:c r="A66" s="313" t="str">
        <x:v>Data / document locator</x:v>
      </x:c>
      <x:c r="B66" s="311" t="str">
        <x:v>https://www.ncei.noaa.gov/access</x:v>
      </x:c>
      <x:c r="C66" s="311"/>
      <x:c r="D66" s="311"/>
      <x:c r="E66" s="311"/>
      <x:c r="F66" s="311"/>
      <x:c r="G66" s="311"/>
      <x:c r="H66" s="311"/>
    </x:row>
    <x:row r="67" ht="28" customHeight="1">
      <x:c r="A67" s="313" t="str">
        <x:v>Outreach status</x:v>
      </x:c>
      <x:c r="B67" s="311" t="str">
        <x:v>Inquiry drafted in conversation; sending and response not established.</x:v>
      </x:c>
      <x:c r="C67" s="311"/>
      <x:c r="D67" s="311"/>
      <x:c r="E67" s="311"/>
      <x:c r="F67" s="311"/>
      <x:c r="G67" s="311"/>
      <x:c r="H67" s="311"/>
    </x:row>
    <x:row r="68" ht="28" customHeight="1">
      <x:c r="A68" s="313" t="str">
        <x:v>Recorded / checked</x:v>
      </x:c>
      <x:c r="B68" s="311" t="str">
        <x:v>15 Sep 2026 — selected primary contact/metadata pages only.</x:v>
      </x:c>
      <x:c r="C68" s="311"/>
      <x:c r="D68" s="311"/>
      <x:c r="E68" s="311"/>
      <x:c r="F68" s="311"/>
      <x:c r="G68" s="311"/>
      <x:c r="H68" s="311"/>
    </x:row>
    <x:row r="69">
      <x:c r="A69" s="112"/>
      <x:c r="B69" s="112"/>
      <x:c r="C69" s="112"/>
      <x:c r="D69" s="112"/>
      <x:c r="E69" s="112"/>
      <x:c r="F69" s="112"/>
      <x:c r="G69" s="112"/>
      <x:c r="H69" s="112"/>
    </x:row>
    <x:row r="70" ht="26" customHeight="1">
      <x:c r="A70" s="309" t="str">
        <x:v>DOM-RAND | RAND — Resilience Assessment Framework</x:v>
      </x:c>
      <x:c r="B70" s="309"/>
      <x:c r="C70" s="309"/>
      <x:c r="D70" s="309"/>
      <x:c r="E70" s="309"/>
      <x:c r="F70" s="309"/>
      <x:c r="G70" s="309"/>
      <x:c r="H70" s="309"/>
    </x:row>
    <x:row r="71" ht="28" customHeight="1">
      <x:c r="A71" s="313" t="str">
        <x:v>Named contact</x:v>
      </x:c>
      <x:c r="B71" s="311" t="str">
        <x:v>Dr. Osonde A. Osoba</x:v>
      </x:c>
      <x:c r="C71" s="311"/>
      <x:c r="D71" s="311"/>
      <x:c r="E71" s="311"/>
      <x:c r="F71" s="311"/>
      <x:c r="G71" s="311"/>
      <x:c r="H71" s="311"/>
    </x:row>
    <x:row r="72" ht="28" customHeight="1">
      <x:c r="A72" s="313" t="str">
        <x:v>Email / telephone</x:v>
      </x:c>
      <x:c r="B72" s="311" t="str">
        <x:v>oosoba@rand.org</x:v>
      </x:c>
      <x:c r="C72" s="311"/>
      <x:c r="D72" s="311"/>
      <x:c r="E72" s="311"/>
      <x:c r="F72" s="311"/>
      <x:c r="G72" s="311"/>
      <x:c r="H72" s="311"/>
    </x:row>
    <x:row r="73" ht="28" customHeight="1">
      <x:c r="A73" s="313" t="str">
        <x:v>Research role</x:v>
      </x:c>
      <x:c r="B73" s="311" t="str">
        <x:v>Resilience methods, definitions and supporting model/data inquiry.</x:v>
      </x:c>
      <x:c r="C73" s="311"/>
      <x:c r="D73" s="311"/>
      <x:c r="E73" s="311"/>
      <x:c r="F73" s="311"/>
      <x:c r="G73" s="311"/>
      <x:c r="H73" s="311"/>
    </x:row>
    <x:row r="74" ht="28" customHeight="1">
      <x:c r="A74" s="313" t="str">
        <x:v>Access posture</x:v>
      </x:c>
      <x:c r="B74" s="314" t="str">
        <x:v>Public report; underlying inputs, code and benchmarks not confirmed.</x:v>
      </x:c>
      <x:c r="C74" s="314"/>
      <x:c r="D74" s="314"/>
      <x:c r="E74" s="314"/>
      <x:c r="F74" s="314"/>
      <x:c r="G74" s="314"/>
      <x:c r="H74" s="314"/>
    </x:row>
    <x:row r="75" ht="50" customHeight="1">
      <x:c r="A75" s="313" t="str">
        <x:v>Explicit measurements / ask</x:v>
      </x:c>
      <x:c r="B75" s="311" t="str">
        <x:v>For RR-A980-1 request public supporting inputs/code/example data and definitions for latency, availability, downtime, interruption/recovery, loss, throughput and queues. Distinguish measured, assumed and simulated examples. Request related public onboard-task/workflow/OODA evidence.</x:v>
      </x:c>
      <x:c r="C75" s="311"/>
      <x:c r="D75" s="311"/>
      <x:c r="E75" s="311"/>
      <x:c r="F75" s="311"/>
      <x:c r="G75" s="311"/>
      <x:c r="H75" s="311"/>
    </x:row>
    <x:row r="76" ht="50" customHeight="1">
      <x:c r="A76" s="313" t="str">
        <x:v>Additional scope / caution</x:v>
      </x:c>
      <x:c r="B76" s="311" t="str">
        <x:v>Email is published in a 2026 journal article; no personal response claimed. order@rand.org is a publication-service fallback, not the technical custodian. Screenshot's 2022 title is a separate unverified lead.</x:v>
      </x:c>
      <x:c r="C76" s="311"/>
      <x:c r="D76" s="311"/>
      <x:c r="E76" s="311"/>
      <x:c r="F76" s="311"/>
      <x:c r="G76" s="311"/>
      <x:c r="H76" s="311"/>
    </x:row>
    <x:row r="77" ht="50" customHeight="1">
      <x:c r="A77" s="313" t="str">
        <x:v>Sampling / citation requirements</x:v>
      </x:c>
      <x:c r="B77" s="311" t="str">
        <x:v>Request a small existing downloadable sample or repository/API link, observation date range, endpoints, UTC/timezone, units, cadence, quality flags, missing-versus-outage rules, dataset version/DOI, preferred citation and research-use terms. Public/non-CUI only.</x:v>
      </x:c>
      <x:c r="C77" s="311"/>
      <x:c r="D77" s="311"/>
      <x:c r="E77" s="311"/>
      <x:c r="F77" s="311"/>
      <x:c r="G77" s="311"/>
      <x:c r="H77" s="311"/>
    </x:row>
    <x:row r="78" ht="28" customHeight="1">
      <x:c r="A78" s="313" t="str">
        <x:v>Contact verification URL</x:v>
      </x:c>
      <x:c r="B78" s="311" t="str">
        <x:v>https://doi.org/10.1017/cfl.2025.10036</x:v>
      </x:c>
      <x:c r="C78" s="311"/>
      <x:c r="D78" s="311"/>
      <x:c r="E78" s="311"/>
      <x:c r="F78" s="311"/>
      <x:c r="G78" s="311"/>
      <x:c r="H78" s="311"/>
    </x:row>
    <x:row r="79" ht="28" customHeight="1">
      <x:c r="A79" s="313" t="str">
        <x:v>Data / document locator</x:v>
      </x:c>
      <x:c r="B79" s="311" t="str">
        <x:v>https://www.rand.org/pubs/research_reports/RRA980-1.html</x:v>
      </x:c>
      <x:c r="C79" s="311"/>
      <x:c r="D79" s="311"/>
      <x:c r="E79" s="311"/>
      <x:c r="F79" s="311"/>
      <x:c r="G79" s="311"/>
      <x:c r="H79" s="311"/>
    </x:row>
    <x:row r="80" ht="28" customHeight="1">
      <x:c r="A80" s="313" t="str">
        <x:v>Outreach status</x:v>
      </x:c>
      <x:c r="B80" s="311" t="str">
        <x:v>Inquiry drafted in conversation; sending and response not established.</x:v>
      </x:c>
      <x:c r="C80" s="311"/>
      <x:c r="D80" s="311"/>
      <x:c r="E80" s="311"/>
      <x:c r="F80" s="311"/>
      <x:c r="G80" s="311"/>
      <x:c r="H80" s="311"/>
    </x:row>
    <x:row r="81" ht="28" customHeight="1">
      <x:c r="A81" s="313" t="str">
        <x:v>Recorded / checked</x:v>
      </x:c>
      <x:c r="B81" s="311" t="str">
        <x:v>15 Sep 2026 — selected primary contact/metadata pages only.</x:v>
      </x:c>
      <x:c r="C81" s="311"/>
      <x:c r="D81" s="311"/>
      <x:c r="E81" s="311"/>
      <x:c r="F81" s="311"/>
      <x:c r="G81" s="311"/>
      <x:c r="H81" s="311"/>
    </x:row>
    <x:row r="82">
      <x:c r="A82" s="112"/>
      <x:c r="B82" s="112"/>
      <x:c r="C82" s="112"/>
      <x:c r="D82" s="112"/>
      <x:c r="E82" s="112"/>
      <x:c r="F82" s="112"/>
      <x:c r="G82" s="112"/>
      <x:c r="H82" s="112"/>
    </x:row>
    <x:row r="83" ht="26" customHeight="1">
      <x:c r="A83" s="309" t="str">
        <x:v>DOM-CT | CelesTrak — Orbital Products</x:v>
      </x:c>
      <x:c r="B83" s="309"/>
      <x:c r="C83" s="309"/>
      <x:c r="D83" s="309"/>
      <x:c r="E83" s="309"/>
      <x:c r="F83" s="309"/>
      <x:c r="G83" s="309"/>
      <x:c r="H83" s="309"/>
    </x:row>
    <x:row r="84" ht="28" customHeight="1">
      <x:c r="A84" s="313" t="str">
        <x:v>Named contact</x:v>
      </x:c>
      <x:c r="B84" s="311" t="str">
        <x:v>General information; Dr. T. S. Kelso (technical lead previously identified)</x:v>
      </x:c>
      <x:c r="C84" s="311"/>
      <x:c r="D84" s="311"/>
      <x:c r="E84" s="311"/>
      <x:c r="F84" s="311"/>
      <x:c r="G84" s="311"/>
      <x:c r="H84" s="311"/>
    </x:row>
    <x:row r="85" ht="28" customHeight="1">
      <x:c r="A85" s="313" t="str">
        <x:v>Email / telephone</x:v>
      </x:c>
      <x:c r="B85" s="311" t="str">
        <x:v>info@celestrak.org</x:v>
      </x:c>
      <x:c r="C85" s="311"/>
      <x:c r="D85" s="311"/>
      <x:c r="E85" s="311"/>
      <x:c r="F85" s="311"/>
      <x:c r="G85" s="311"/>
      <x:c r="H85" s="311"/>
    </x:row>
    <x:row r="86" ht="28" customHeight="1">
      <x:c r="A86" s="313" t="str">
        <x:v>Research role</x:v>
      </x:c>
      <x:c r="B86" s="311" t="str">
        <x:v>Orbital elements for visibility, slant range and contact opportunities.</x:v>
      </x:c>
      <x:c r="C86" s="311"/>
      <x:c r="D86" s="311"/>
      <x:c r="E86" s="311"/>
      <x:c r="F86" s="311"/>
      <x:c r="G86" s="311"/>
      <x:c r="H86" s="311"/>
    </x:row>
    <x:row r="87" ht="28" customHeight="1">
      <x:c r="A87" s="313" t="str">
        <x:v>Access posture</x:v>
      </x:c>
      <x:c r="B87" s="315" t="str">
        <x:v>Public product endpoints; historical access and retrieval limits to check.</x:v>
      </x:c>
      <x:c r="C87" s="315"/>
      <x:c r="D87" s="315"/>
      <x:c r="E87" s="315"/>
      <x:c r="F87" s="315"/>
      <x:c r="G87" s="315"/>
      <x:c r="H87" s="315"/>
    </x:row>
    <x:row r="88" ht="50" customHeight="1">
      <x:c r="A88" s="313" t="str">
        <x:v>Explicit measurements / ask</x:v>
      </x:c>
      <x:c r="B88" s="311" t="str">
        <x:v>Historical element files with object IDs, epoch, formats, freshness/quality flags and citations. Ask separately whether public observed contact success/failure, latency/loss/uptime/downtime records are held or who can supply them.</x:v>
      </x:c>
      <x:c r="C88" s="311"/>
      <x:c r="D88" s="311"/>
      <x:c r="E88" s="311"/>
      <x:c r="F88" s="311"/>
      <x:c r="G88" s="311"/>
      <x:c r="H88" s="311"/>
    </x:row>
    <x:row r="89" ht="36" customHeight="1">
      <x:c r="A89" s="313" t="str">
        <x:v>Additional scope / caution</x:v>
      </x:c>
      <x:c r="B89" s="311" t="str">
        <x:v>Computed visibility/contact opportunities are not measured service availability. Do not assume current feed supplies historical snapshots.</x:v>
      </x:c>
      <x:c r="C89" s="311"/>
      <x:c r="D89" s="311"/>
      <x:c r="E89" s="311"/>
      <x:c r="F89" s="311"/>
      <x:c r="G89" s="311"/>
      <x:c r="H89" s="311"/>
    </x:row>
    <x:row r="90" ht="50" customHeight="1">
      <x:c r="A90" s="313" t="str">
        <x:v>Sampling / citation requirements</x:v>
      </x:c>
      <x:c r="B90" s="311" t="str">
        <x:v>Request a small existing downloadable sample or repository/API link, observation date range, endpoints, UTC/timezone, units, cadence, quality flags, missing-versus-outage rules, dataset version/DOI, preferred citation and research-use terms. Public/non-CUI only.</x:v>
      </x:c>
      <x:c r="C90" s="311"/>
      <x:c r="D90" s="311"/>
      <x:c r="E90" s="311"/>
      <x:c r="F90" s="311"/>
      <x:c r="G90" s="311"/>
      <x:c r="H90" s="311"/>
    </x:row>
    <x:row r="91" ht="28" customHeight="1">
      <x:c r="A91" s="313" t="str">
        <x:v>Contact verification URL</x:v>
      </x:c>
      <x:c r="B91" s="311" t="str">
        <x:v>https://github.com/CelesTrak</x:v>
      </x:c>
      <x:c r="C91" s="311"/>
      <x:c r="D91" s="311"/>
      <x:c r="E91" s="311"/>
      <x:c r="F91" s="311"/>
      <x:c r="G91" s="311"/>
      <x:c r="H91" s="311"/>
    </x:row>
    <x:row r="92" ht="28" customHeight="1">
      <x:c r="A92" s="313" t="str">
        <x:v>Data / document locator</x:v>
      </x:c>
      <x:c r="B92" s="311" t="str">
        <x:v>https://celestrak.org/NORAD/elements/</x:v>
      </x:c>
      <x:c r="C92" s="311"/>
      <x:c r="D92" s="311"/>
      <x:c r="E92" s="311"/>
      <x:c r="F92" s="311"/>
      <x:c r="G92" s="311"/>
      <x:c r="H92" s="311"/>
    </x:row>
    <x:row r="93" ht="28" customHeight="1">
      <x:c r="A93" s="313" t="str">
        <x:v>Outreach status</x:v>
      </x:c>
      <x:c r="B93" s="311" t="str">
        <x:v>Inquiry drafted in conversation; sending and response not established.</x:v>
      </x:c>
      <x:c r="C93" s="311"/>
      <x:c r="D93" s="311"/>
      <x:c r="E93" s="311"/>
      <x:c r="F93" s="311"/>
      <x:c r="G93" s="311"/>
      <x:c r="H93" s="311"/>
    </x:row>
    <x:row r="94" ht="28" customHeight="1">
      <x:c r="A94" s="313" t="str">
        <x:v>Recorded / checked</x:v>
      </x:c>
      <x:c r="B94" s="311" t="str">
        <x:v>15 Sep 2026 — selected primary contact/metadata pages only.</x:v>
      </x:c>
      <x:c r="C94" s="311"/>
      <x:c r="D94" s="311"/>
      <x:c r="E94" s="311"/>
      <x:c r="F94" s="311"/>
      <x:c r="G94" s="311"/>
      <x:c r="H94" s="311"/>
    </x:row>
    <x:row r="95">
      <x:c r="A95" s="112"/>
      <x:c r="B95" s="112"/>
      <x:c r="C95" s="112"/>
      <x:c r="D95" s="112"/>
      <x:c r="E95" s="112"/>
      <x:c r="F95" s="112"/>
      <x:c r="G95" s="112"/>
      <x:c r="H95" s="112"/>
    </x:row>
    <x:row r="96" ht="26" customHeight="1">
      <x:c r="A96" s="309" t="str">
        <x:v>DOM-AFRL | AFRL / Boston College — SCINDA</x:v>
      </x:c>
      <x:c r="B96" s="309"/>
      <x:c r="C96" s="309"/>
      <x:c r="D96" s="309"/>
      <x:c r="E96" s="309"/>
      <x:c r="F96" s="309"/>
      <x:c r="G96" s="309"/>
      <x:c r="H96" s="309"/>
    </x:row>
    <x:row r="97" ht="28" customHeight="1">
      <x:c r="A97" s="313" t="str">
        <x:v>Named contact</x:v>
      </x:c>
      <x:c r="B97" s="311" t="str">
        <x:v>Ron (Ronald) Caton — scientific information; Chris Bridgwood — portal access</x:v>
      </x:c>
      <x:c r="C97" s="311"/>
      <x:c r="D97" s="311"/>
      <x:c r="E97" s="311"/>
      <x:c r="F97" s="311"/>
      <x:c r="G97" s="311"/>
      <x:c r="H97" s="311"/>
    </x:row>
    <x:row r="98" ht="28" customHeight="1">
      <x:c r="A98" s="313" t="str">
        <x:v>Email / telephone</x:v>
      </x:c>
      <x:c r="B98" s="311" t="str">
        <x:v>christopher.bridgwood@bc.edu | Ron: +1 505-846-8839; Chris: +1 617-552-0144</x:v>
      </x:c>
      <x:c r="C98" s="311"/>
      <x:c r="D98" s="311"/>
      <x:c r="E98" s="311"/>
      <x:c r="F98" s="311"/>
      <x:c r="G98" s="311"/>
      <x:c r="H98" s="311"/>
    </x:row>
    <x:row r="99" ht="28" customHeight="1">
      <x:c r="A99" s="313" t="str">
        <x:v>Research role</x:v>
      </x:c>
      <x:c r="B99" s="311" t="str">
        <x:v>Ionospheric/scintillation data; public-release determination and routing only.</x:v>
      </x:c>
      <x:c r="C99" s="311"/>
      <x:c r="D99" s="311"/>
      <x:c r="E99" s="311"/>
      <x:c r="F99" s="311"/>
      <x:c r="G99" s="311"/>
      <x:c r="H99" s="311"/>
    </x:row>
    <x:row r="100" ht="28" customHeight="1">
      <x:c r="A100" s="313" t="str">
        <x:v>Access posture</x:v>
      </x:c>
      <x:c r="B100" s="314" t="str">
        <x:v>Authorized-use portal — permission and public-release suitability unresolved.</x:v>
      </x:c>
      <x:c r="C100" s="314"/>
      <x:c r="D100" s="314"/>
      <x:c r="E100" s="314"/>
      <x:c r="F100" s="314"/>
      <x:c r="G100" s="314"/>
      <x:c r="H100" s="314"/>
    </x:row>
    <x:row r="101" ht="50" customHeight="1">
      <x:c r="A101" s="313" t="str">
        <x:v>Explicit measurements / ask</x:v>
      </x:c>
      <x:c r="B101" s="311" t="str">
        <x:v>Request a publicly releasable, non-CUI historical subset or public equivalent, source-specific citation/licence and custodian referral. Ask whether any release includes correlated latency, downtime/recovery, loss or availability measurements; do not presume so.</x:v>
      </x:c>
      <x:c r="C101" s="311"/>
      <x:c r="D101" s="311"/>
      <x:c r="E101" s="311"/>
      <x:c r="F101" s="311"/>
      <x:c r="G101" s="311"/>
      <x:c r="H101" s="311"/>
    </x:row>
    <x:row r="102" ht="50" customHeight="1">
      <x:c r="A102" s="313" t="str">
        <x:v>Additional scope / caution</x:v>
      </x:c>
      <x:c r="B102" s="311" t="str">
        <x:v>Landing page lists ronald.caton@kirtland.af.mil (legacy address): verify Ronald Caton in GAL before use. Access authority is not public-release permission. No restricted files requested or downloaded.</x:v>
      </x:c>
      <x:c r="C102" s="311"/>
      <x:c r="D102" s="311"/>
      <x:c r="E102" s="311"/>
      <x:c r="F102" s="311"/>
      <x:c r="G102" s="311"/>
      <x:c r="H102" s="311"/>
    </x:row>
    <x:row r="103" ht="50" customHeight="1">
      <x:c r="A103" s="313" t="str">
        <x:v>Sampling / citation requirements</x:v>
      </x:c>
      <x:c r="B103" s="311" t="str">
        <x:v>Request a small existing downloadable sample or repository/API link, observation date range, endpoints, UTC/timezone, units, cadence, quality flags, missing-versus-outage rules, dataset version/DOI, preferred citation and research-use terms. Public/non-CUI only.</x:v>
      </x:c>
      <x:c r="C103" s="311"/>
      <x:c r="D103" s="311"/>
      <x:c r="E103" s="311"/>
      <x:c r="F103" s="311"/>
      <x:c r="G103" s="311"/>
      <x:c r="H103" s="311"/>
    </x:row>
    <x:row r="104" ht="28" customHeight="1">
      <x:c r="A104" s="313" t="str">
        <x:v>Contact verification URL</x:v>
      </x:c>
      <x:c r="B104" s="311" t="str">
        <x:v>https://scinda.bc.edu/</x:v>
      </x:c>
      <x:c r="C104" s="311"/>
      <x:c r="D104" s="311"/>
      <x:c r="E104" s="311"/>
      <x:c r="F104" s="311"/>
      <x:c r="G104" s="311"/>
      <x:c r="H104" s="311"/>
    </x:row>
    <x:row r="105" ht="28" customHeight="1">
      <x:c r="A105" s="313" t="str">
        <x:v>Data / document locator</x:v>
      </x:c>
      <x:c r="B105" s="311" t="str">
        <x:v>https://scinda.bc.edu/</x:v>
      </x:c>
      <x:c r="C105" s="311"/>
      <x:c r="D105" s="311"/>
      <x:c r="E105" s="311"/>
      <x:c r="F105" s="311"/>
      <x:c r="G105" s="311"/>
      <x:c r="H105" s="311"/>
    </x:row>
    <x:row r="106" ht="36" customHeight="1">
      <x:c r="A106" s="313" t="str">
        <x:v>Outreach status</x:v>
      </x:c>
      <x:c r="B106" s="311" t="str">
        <x:v>Inquiry drafted in conversation; sending and response not established. AFRL is a routing lead, not a released dataset.</x:v>
      </x:c>
      <x:c r="C106" s="311"/>
      <x:c r="D106" s="311"/>
      <x:c r="E106" s="311"/>
      <x:c r="F106" s="311"/>
      <x:c r="G106" s="311"/>
      <x:c r="H106" s="311"/>
    </x:row>
    <x:row r="107" ht="28" customHeight="1">
      <x:c r="A107" s="313" t="str">
        <x:v>Recorded / checked</x:v>
      </x:c>
      <x:c r="B107" s="311" t="str">
        <x:v>15 Sep 2026 — selected primary contact/metadata pages only.</x:v>
      </x:c>
      <x:c r="C107" s="311"/>
      <x:c r="D107" s="311"/>
      <x:c r="E107" s="311"/>
      <x:c r="F107" s="311"/>
      <x:c r="G107" s="311"/>
      <x:c r="H107" s="311"/>
    </x:row>
    <x:row r="108">
      <x:c r="A108" s="112"/>
      <x:c r="B108" s="112"/>
      <x:c r="C108" s="112"/>
      <x:c r="D108" s="112"/>
      <x:c r="E108" s="112"/>
      <x:c r="F108" s="112"/>
      <x:c r="G108" s="112"/>
      <x:c r="H108" s="112"/>
    </x:row>
    <x:row r="109">
      <x:c r="A109" s="112"/>
      <x:c r="B109" s="112"/>
      <x:c r="C109" s="112"/>
      <x:c r="D109" s="112"/>
      <x:c r="E109" s="112"/>
      <x:c r="F109" s="112"/>
      <x:c r="G109" s="112"/>
      <x:c r="H109" s="112"/>
    </x:row>
    <x:row r="110">
      <x:c r="A110" s="112"/>
      <x:c r="B110" s="112"/>
      <x:c r="C110" s="112"/>
      <x:c r="D110" s="112"/>
      <x:c r="E110" s="112"/>
      <x:c r="F110" s="112"/>
      <x:c r="G110" s="112"/>
      <x:c r="H110" s="112"/>
    </x:row>
    <x:row r="111">
      <x:c r="A111" s="112"/>
      <x:c r="B111" s="112"/>
      <x:c r="C111" s="112"/>
      <x:c r="D111" s="112"/>
      <x:c r="E111" s="112"/>
      <x:c r="F111" s="112"/>
      <x:c r="G111" s="112"/>
      <x:c r="H111" s="112"/>
    </x:row>
    <x:row r="112">
      <x:c r="A112" s="112"/>
      <x:c r="B112" s="112"/>
      <x:c r="C112" s="112"/>
      <x:c r="D112" s="112"/>
      <x:c r="E112" s="112"/>
      <x:c r="F112" s="112"/>
      <x:c r="G112" s="112"/>
      <x:c r="H112" s="112"/>
    </x:row>
    <x:row r="113">
      <x:c r="A113" s="112"/>
      <x:c r="B113" s="112"/>
      <x:c r="C113" s="112"/>
      <x:c r="D113" s="112"/>
      <x:c r="E113" s="112"/>
      <x:c r="F113" s="112"/>
      <x:c r="G113" s="112"/>
      <x:c r="H113" s="112"/>
    </x:row>
    <x:row r="114">
      <x:c r="A114" s="112"/>
      <x:c r="B114" s="112"/>
      <x:c r="C114" s="112"/>
      <x:c r="D114" s="112"/>
      <x:c r="E114" s="112"/>
      <x:c r="F114" s="112"/>
      <x:c r="G114" s="112"/>
      <x:c r="H114" s="112"/>
    </x:row>
    <x:row r="115">
      <x:c r="A115" s="112"/>
      <x:c r="B115" s="112"/>
      <x:c r="C115" s="112"/>
      <x:c r="D115" s="112"/>
      <x:c r="E115" s="112"/>
      <x:c r="F115" s="112"/>
      <x:c r="G115" s="112"/>
      <x:c r="H115" s="112"/>
    </x:row>
    <x:row r="116">
      <x:c r="A116" s="112"/>
      <x:c r="B116" s="112"/>
      <x:c r="C116" s="112"/>
      <x:c r="D116" s="112"/>
      <x:c r="E116" s="112"/>
      <x:c r="F116" s="112"/>
      <x:c r="G116" s="112"/>
      <x:c r="H116" s="112"/>
    </x:row>
    <x:row r="117">
      <x:c r="A117" s="112"/>
      <x:c r="B117" s="112"/>
      <x:c r="C117" s="112"/>
      <x:c r="D117" s="112"/>
      <x:c r="E117" s="112"/>
      <x:c r="F117" s="112"/>
      <x:c r="G117" s="112"/>
      <x:c r="H117" s="112"/>
    </x:row>
    <x:row r="118">
      <x:c r="A118" s="112"/>
      <x:c r="B118" s="112"/>
      <x:c r="C118" s="112"/>
      <x:c r="D118" s="112"/>
      <x:c r="E118" s="112"/>
      <x:c r="F118" s="112"/>
      <x:c r="G118" s="112"/>
      <x:c r="H118" s="112"/>
    </x:row>
    <x:row r="119">
      <x:c r="A119" s="112"/>
      <x:c r="B119" s="112"/>
      <x:c r="C119" s="112"/>
      <x:c r="D119" s="112"/>
      <x:c r="E119" s="112"/>
      <x:c r="F119" s="112"/>
      <x:c r="G119" s="112"/>
      <x:c r="H119" s="112"/>
    </x:row>
    <x:row r="120">
      <x:c r="A120" s="112"/>
      <x:c r="B120" s="112"/>
      <x:c r="C120" s="112"/>
      <x:c r="D120" s="112"/>
      <x:c r="E120" s="112"/>
      <x:c r="F120" s="112"/>
      <x:c r="G120" s="112"/>
      <x:c r="H120" s="112"/>
    </x:row>
    <x:row r="121">
      <x:c r="A121" s="112"/>
      <x:c r="B121" s="112"/>
      <x:c r="C121" s="112"/>
      <x:c r="D121" s="112"/>
      <x:c r="E121" s="112"/>
      <x:c r="F121" s="112"/>
      <x:c r="G121" s="112"/>
      <x:c r="H121" s="112"/>
    </x:row>
    <x:row r="122">
      <x:c r="A122" s="112"/>
      <x:c r="B122" s="112"/>
      <x:c r="C122" s="112"/>
      <x:c r="D122" s="112"/>
      <x:c r="E122" s="112"/>
      <x:c r="F122" s="112"/>
      <x:c r="G122" s="112"/>
      <x:c r="H122" s="112"/>
    </x:row>
    <x:row r="123">
      <x:c r="A123" s="112"/>
      <x:c r="B123" s="112"/>
      <x:c r="C123" s="112"/>
      <x:c r="D123" s="112"/>
      <x:c r="E123" s="112"/>
      <x:c r="F123" s="112"/>
      <x:c r="G123" s="112"/>
      <x:c r="H123" s="112"/>
    </x:row>
    <x:row r="124">
      <x:c r="A124" s="112"/>
      <x:c r="B124" s="112"/>
      <x:c r="C124" s="112"/>
      <x:c r="D124" s="112"/>
      <x:c r="E124" s="112"/>
      <x:c r="F124" s="112"/>
      <x:c r="G124" s="112"/>
      <x:c r="H124" s="112"/>
    </x:row>
    <x:row r="125">
      <x:c r="A125" s="112"/>
      <x:c r="B125" s="112"/>
      <x:c r="C125" s="112"/>
      <x:c r="D125" s="112"/>
      <x:c r="E125" s="112"/>
      <x:c r="F125" s="112"/>
      <x:c r="G125" s="112"/>
      <x:c r="H125" s="112"/>
    </x:row>
    <x:row r="126">
      <x:c r="A126" s="112"/>
      <x:c r="B126" s="112"/>
      <x:c r="C126" s="112"/>
      <x:c r="D126" s="112"/>
      <x:c r="E126" s="112"/>
      <x:c r="F126" s="112"/>
      <x:c r="G126" s="112"/>
      <x:c r="H126" s="112"/>
    </x:row>
    <x:row r="127">
      <x:c r="A127" s="112"/>
      <x:c r="B127" s="112"/>
      <x:c r="C127" s="112"/>
      <x:c r="D127" s="112"/>
      <x:c r="E127" s="112"/>
      <x:c r="F127" s="112"/>
      <x:c r="G127" s="112"/>
      <x:c r="H127" s="112"/>
    </x:row>
    <x:row r="128">
      <x:c r="A128" s="112"/>
      <x:c r="B128" s="112"/>
      <x:c r="C128" s="112"/>
      <x:c r="D128" s="112"/>
      <x:c r="E128" s="112"/>
      <x:c r="F128" s="112"/>
      <x:c r="G128" s="112"/>
      <x:c r="H128" s="112"/>
    </x:row>
    <x:row r="129">
      <x:c r="A129" s="112"/>
      <x:c r="B129" s="112"/>
      <x:c r="C129" s="112"/>
      <x:c r="D129" s="112"/>
      <x:c r="E129" s="112"/>
      <x:c r="F129" s="112"/>
      <x:c r="G129" s="112"/>
      <x:c r="H129" s="112"/>
    </x:row>
    <x:row r="130">
      <x:c r="A130" s="112"/>
      <x:c r="B130" s="112"/>
      <x:c r="C130" s="112"/>
      <x:c r="D130" s="112"/>
      <x:c r="E130" s="112"/>
      <x:c r="F130" s="112"/>
      <x:c r="G130" s="112"/>
      <x:c r="H130" s="112"/>
    </x:row>
    <x:row r="131">
      <x:c r="A131" s="112"/>
      <x:c r="B131" s="112"/>
      <x:c r="C131" s="112"/>
      <x:c r="D131" s="112"/>
      <x:c r="E131" s="112"/>
      <x:c r="F131" s="112"/>
      <x:c r="G131" s="112"/>
      <x:c r="H131" s="112"/>
    </x:row>
    <x:row r="132">
      <x:c r="A132" s="112"/>
      <x:c r="B132" s="112"/>
      <x:c r="C132" s="112"/>
      <x:c r="D132" s="112"/>
      <x:c r="E132" s="112"/>
      <x:c r="F132" s="112"/>
      <x:c r="G132" s="112"/>
      <x:c r="H132" s="112"/>
    </x:row>
    <x:row r="133">
      <x:c r="A133" s="112"/>
      <x:c r="B133" s="112"/>
      <x:c r="C133" s="112"/>
      <x:c r="D133" s="112"/>
      <x:c r="E133" s="112"/>
      <x:c r="F133" s="112"/>
      <x:c r="G133" s="112"/>
      <x:c r="H133" s="112"/>
    </x:row>
    <x:row r="134">
      <x:c r="A134" s="112"/>
      <x:c r="B134" s="112"/>
      <x:c r="C134" s="112"/>
      <x:c r="D134" s="112"/>
      <x:c r="E134" s="112"/>
      <x:c r="F134" s="112"/>
      <x:c r="G134" s="112"/>
      <x:c r="H134" s="112"/>
    </x:row>
    <x:row r="135">
      <x:c r="A135" s="112"/>
      <x:c r="B135" s="112"/>
      <x:c r="C135" s="112"/>
      <x:c r="D135" s="112"/>
      <x:c r="E135" s="112"/>
      <x:c r="F135" s="112"/>
      <x:c r="G135" s="112"/>
      <x:c r="H135" s="112"/>
    </x:row>
    <x:row r="136">
      <x:c r="A136" s="112"/>
      <x:c r="B136" s="112"/>
      <x:c r="C136" s="112"/>
      <x:c r="D136" s="112"/>
      <x:c r="E136" s="112"/>
      <x:c r="F136" s="112"/>
      <x:c r="G136" s="112"/>
      <x:c r="H136" s="112"/>
    </x:row>
    <x:row r="137">
      <x:c r="A137" s="112"/>
      <x:c r="B137" s="112"/>
      <x:c r="C137" s="112"/>
      <x:c r="D137" s="112"/>
      <x:c r="E137" s="112"/>
      <x:c r="F137" s="112"/>
      <x:c r="G137" s="112"/>
      <x:c r="H137" s="112"/>
    </x:row>
    <x:row r="138">
      <x:c r="A138" s="112"/>
      <x:c r="B138" s="112"/>
      <x:c r="C138" s="112"/>
      <x:c r="D138" s="112"/>
      <x:c r="E138" s="112"/>
      <x:c r="F138" s="112"/>
      <x:c r="G138" s="112"/>
      <x:c r="H138" s="112"/>
    </x:row>
    <x:row r="139">
      <x:c r="A139" s="112"/>
      <x:c r="B139" s="112"/>
      <x:c r="C139" s="112"/>
      <x:c r="D139" s="112"/>
      <x:c r="E139" s="112"/>
      <x:c r="F139" s="112"/>
      <x:c r="G139" s="112"/>
      <x:c r="H139" s="112"/>
    </x:row>
    <x:row r="140">
      <x:c r="A140" s="112"/>
      <x:c r="B140" s="112"/>
      <x:c r="C140" s="112"/>
      <x:c r="D140" s="112"/>
      <x:c r="E140" s="112"/>
      <x:c r="F140" s="112"/>
      <x:c r="G140" s="112"/>
      <x:c r="H140" s="112"/>
    </x:row>
    <x:row r="141">
      <x:c r="A141" s="112"/>
      <x:c r="B141" s="112"/>
      <x:c r="C141" s="112"/>
      <x:c r="D141" s="112"/>
      <x:c r="E141" s="112"/>
      <x:c r="F141" s="112"/>
      <x:c r="G141" s="112"/>
      <x:c r="H141" s="112"/>
    </x:row>
    <x:row r="142">
      <x:c r="A142" s="112"/>
      <x:c r="B142" s="112"/>
      <x:c r="C142" s="112"/>
      <x:c r="D142" s="112"/>
      <x:c r="E142" s="112"/>
      <x:c r="F142" s="112"/>
      <x:c r="G142" s="112"/>
      <x:c r="H142" s="112"/>
    </x:row>
    <x:row r="143">
      <x:c r="A143" s="112"/>
      <x:c r="B143" s="112"/>
      <x:c r="C143" s="112"/>
      <x:c r="D143" s="112"/>
      <x:c r="E143" s="112"/>
      <x:c r="F143" s="112"/>
      <x:c r="G143" s="112"/>
      <x:c r="H143" s="112"/>
    </x:row>
    <x:row r="144">
      <x:c r="A144" s="112"/>
      <x:c r="B144" s="112"/>
      <x:c r="C144" s="112"/>
      <x:c r="D144" s="112"/>
      <x:c r="E144" s="112"/>
      <x:c r="F144" s="112"/>
      <x:c r="G144" s="112"/>
      <x:c r="H144" s="112"/>
    </x:row>
    <x:row r="145">
      <x:c r="A145" s="112"/>
      <x:c r="B145" s="112"/>
      <x:c r="C145" s="112"/>
      <x:c r="D145" s="112"/>
      <x:c r="E145" s="112"/>
      <x:c r="F145" s="112"/>
      <x:c r="G145" s="112"/>
      <x:c r="H145" s="112"/>
    </x:row>
    <x:row r="146">
      <x:c r="A146" s="112"/>
      <x:c r="B146" s="112"/>
      <x:c r="C146" s="112"/>
      <x:c r="D146" s="112"/>
      <x:c r="E146" s="112"/>
      <x:c r="F146" s="112"/>
      <x:c r="G146" s="112"/>
      <x:c r="H146" s="112"/>
    </x:row>
    <x:row r="147">
      <x:c r="A147" s="112"/>
      <x:c r="B147" s="112"/>
      <x:c r="C147" s="112"/>
      <x:c r="D147" s="112"/>
      <x:c r="E147" s="112"/>
      <x:c r="F147" s="112"/>
      <x:c r="G147" s="112"/>
      <x:c r="H147" s="112"/>
    </x:row>
    <x:row r="148">
      <x:c r="A148" s="112"/>
      <x:c r="B148" s="112"/>
      <x:c r="C148" s="112"/>
      <x:c r="D148" s="112"/>
      <x:c r="E148" s="112"/>
      <x:c r="F148" s="112"/>
      <x:c r="G148" s="112"/>
      <x:c r="H148" s="112"/>
    </x:row>
    <x:row r="149">
      <x:c r="A149" s="112"/>
      <x:c r="B149" s="112"/>
      <x:c r="C149" s="112"/>
      <x:c r="D149" s="112"/>
      <x:c r="E149" s="112"/>
      <x:c r="F149" s="112"/>
      <x:c r="G149" s="112"/>
      <x:c r="H149" s="112"/>
    </x:row>
    <x:row r="150">
      <x:c r="A150" s="112"/>
      <x:c r="B150" s="112"/>
      <x:c r="C150" s="112"/>
      <x:c r="D150" s="112"/>
      <x:c r="E150" s="112"/>
      <x:c r="F150" s="112"/>
      <x:c r="G150" s="112"/>
      <x:c r="H150" s="112"/>
    </x:row>
    <x:row r="151">
      <x:c r="A151" s="112"/>
      <x:c r="B151" s="112"/>
      <x:c r="C151" s="112"/>
      <x:c r="D151" s="112"/>
      <x:c r="E151" s="112"/>
      <x:c r="F151" s="112"/>
      <x:c r="G151" s="112"/>
      <x:c r="H151" s="112"/>
    </x:row>
    <x:row r="152">
      <x:c r="A152" s="112"/>
      <x:c r="B152" s="112"/>
      <x:c r="C152" s="112"/>
      <x:c r="D152" s="112"/>
      <x:c r="E152" s="112"/>
      <x:c r="F152" s="112"/>
      <x:c r="G152" s="112"/>
      <x:c r="H152" s="112"/>
    </x:row>
    <x:row r="153">
      <x:c r="A153" s="112"/>
      <x:c r="B153" s="112"/>
      <x:c r="C153" s="112"/>
      <x:c r="D153" s="112"/>
      <x:c r="E153" s="112"/>
      <x:c r="F153" s="112"/>
      <x:c r="G153" s="112"/>
      <x:c r="H153" s="112"/>
    </x:row>
    <x:row r="154">
      <x:c r="A154" s="112"/>
      <x:c r="B154" s="112"/>
      <x:c r="C154" s="112"/>
      <x:c r="D154" s="112"/>
      <x:c r="E154" s="112"/>
      <x:c r="F154" s="112"/>
      <x:c r="G154" s="112"/>
      <x:c r="H154" s="112"/>
    </x:row>
    <x:row r="155">
      <x:c r="A155" s="112"/>
      <x:c r="B155" s="112"/>
      <x:c r="C155" s="112"/>
      <x:c r="D155" s="112"/>
      <x:c r="E155" s="112"/>
      <x:c r="F155" s="112"/>
      <x:c r="G155" s="112"/>
      <x:c r="H155" s="112"/>
    </x:row>
  </x:sheetData>
  <x:mergeCells>
    <x:mergeCell ref="A1:H1"/>
    <x:mergeCell ref="A2:H3"/>
    <x:mergeCell ref="A5:H5"/>
    <x:mergeCell ref="B6:H6"/>
    <x:mergeCell ref="B7:H7"/>
    <x:mergeCell ref="B8:H8"/>
    <x:mergeCell ref="B9:H9"/>
    <x:mergeCell ref="B10:H10"/>
    <x:mergeCell ref="B11:H11"/>
    <x:mergeCell ref="B12:H12"/>
    <x:mergeCell ref="B13:H13"/>
    <x:mergeCell ref="B14:H14"/>
    <x:mergeCell ref="B15:H15"/>
    <x:mergeCell ref="B16:H16"/>
    <x:mergeCell ref="A18:H18"/>
    <x:mergeCell ref="B19:H19"/>
    <x:mergeCell ref="B20:H20"/>
    <x:mergeCell ref="B21:H21"/>
    <x:mergeCell ref="B22:H22"/>
    <x:mergeCell ref="B23:H23"/>
    <x:mergeCell ref="B24:H24"/>
    <x:mergeCell ref="B25:H25"/>
    <x:mergeCell ref="B26:H26"/>
    <x:mergeCell ref="B27:H27"/>
    <x:mergeCell ref="B28:H28"/>
    <x:mergeCell ref="B29:H29"/>
    <x:mergeCell ref="A31:H31"/>
    <x:mergeCell ref="B32:H32"/>
    <x:mergeCell ref="B33:H33"/>
    <x:mergeCell ref="B34:H34"/>
    <x:mergeCell ref="B35:H35"/>
    <x:mergeCell ref="B36:H36"/>
    <x:mergeCell ref="B37:H37"/>
    <x:mergeCell ref="B38:H38"/>
    <x:mergeCell ref="B39:H39"/>
    <x:mergeCell ref="B40:H40"/>
    <x:mergeCell ref="B41:H41"/>
    <x:mergeCell ref="B42:H42"/>
    <x:mergeCell ref="A44:H44"/>
    <x:mergeCell ref="B45:H45"/>
    <x:mergeCell ref="B46:H46"/>
    <x:mergeCell ref="B47:H47"/>
    <x:mergeCell ref="B48:H48"/>
    <x:mergeCell ref="B49:H49"/>
    <x:mergeCell ref="B50:H50"/>
    <x:mergeCell ref="B51:H51"/>
    <x:mergeCell ref="B52:H52"/>
    <x:mergeCell ref="B53:H53"/>
    <x:mergeCell ref="B54:H54"/>
    <x:mergeCell ref="B55:H55"/>
    <x:mergeCell ref="A57:H57"/>
    <x:mergeCell ref="B58:H58"/>
    <x:mergeCell ref="B59:H59"/>
    <x:mergeCell ref="B60:H60"/>
    <x:mergeCell ref="B61:H61"/>
    <x:mergeCell ref="B62:H62"/>
    <x:mergeCell ref="B63:H63"/>
    <x:mergeCell ref="B64:H64"/>
    <x:mergeCell ref="B65:H65"/>
    <x:mergeCell ref="B66:H66"/>
    <x:mergeCell ref="B67:H67"/>
    <x:mergeCell ref="B68:H68"/>
    <x:mergeCell ref="A70:H70"/>
    <x:mergeCell ref="B71:H71"/>
    <x:mergeCell ref="B72:H72"/>
    <x:mergeCell ref="B73:H73"/>
    <x:mergeCell ref="B74:H74"/>
    <x:mergeCell ref="B75:H75"/>
    <x:mergeCell ref="B76:H76"/>
    <x:mergeCell ref="B77:H77"/>
    <x:mergeCell ref="B78:H78"/>
    <x:mergeCell ref="B79:H79"/>
    <x:mergeCell ref="B80:H80"/>
    <x:mergeCell ref="B81:H81"/>
    <x:mergeCell ref="A83:H83"/>
    <x:mergeCell ref="B84:H84"/>
    <x:mergeCell ref="B85:H85"/>
    <x:mergeCell ref="B86:H86"/>
    <x:mergeCell ref="B87:H87"/>
    <x:mergeCell ref="B88:H88"/>
    <x:mergeCell ref="B89:H89"/>
    <x:mergeCell ref="B90:H90"/>
    <x:mergeCell ref="B91:H91"/>
    <x:mergeCell ref="B92:H92"/>
    <x:mergeCell ref="B93:H93"/>
    <x:mergeCell ref="B94:H94"/>
    <x:mergeCell ref="A96:H96"/>
    <x:mergeCell ref="B97:H97"/>
    <x:mergeCell ref="B98:H98"/>
    <x:mergeCell ref="B99:H99"/>
    <x:mergeCell ref="B100:H100"/>
    <x:mergeCell ref="B101:H101"/>
    <x:mergeCell ref="B102:H102"/>
    <x:mergeCell ref="B103:H103"/>
    <x:mergeCell ref="B104:H104"/>
    <x:mergeCell ref="B105:H105"/>
    <x:mergeCell ref="B106:H106"/>
    <x:mergeCell ref="B107:H107"/>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04" t="str">
        <x:v>Access &amp; Sampling — Public, Registered and Request Routes</x:v>
      </x:c>
      <x:c r="B1" s="304"/>
      <x:c r="C1" s="304"/>
      <x:c r="D1" s="304"/>
      <x:c r="E1" s="304"/>
      <x:c r="F1" s="304"/>
      <x:c r="G1" s="304"/>
      <x:c r="H1" s="304"/>
    </x:row>
    <x:row r="2" ht="28" customHeight="1">
      <x:c r="A2" s="307" t="str">
        <x:v>15 Sep 2026 • Adds the global/polar/island routes discussed after v09. Access to metadata, numerical files, research reuse and redistribution are separate checks. No scientific files were downloaded.</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34" customHeight="1">
      <x:c r="A5" s="316" t="str">
        <x:v>NET-02 | Global / TU Delft — Horizon — Global Starlink</x:v>
      </x:c>
      <x:c r="B5" s="316"/>
      <x:c r="C5" s="316"/>
      <x:c r="D5" s="316"/>
      <x:c r="E5" s="316"/>
      <x:c r="F5" s="316"/>
      <x:c r="G5" s="316"/>
      <x:c r="H5" s="316"/>
    </x:row>
    <x:row r="6" ht="28" customHeight="1">
      <x:c r="A6" s="313" t="str">
        <x:v>Evidence type</x:v>
      </x:c>
      <x:c r="B6" s="311" t="str">
        <x:v>Measured network + predictive artifacts</x:v>
      </x:c>
      <x:c r="C6" s="311"/>
      <x:c r="D6" s="311"/>
      <x:c r="E6" s="311"/>
      <x:c r="F6" s="311"/>
      <x:c r="G6" s="311"/>
      <x:c r="H6" s="311"/>
    </x:row>
    <x:row r="7" ht="28" customHeight="1">
      <x:c r="A7" s="313" t="str">
        <x:v>Access posture</x:v>
      </x:c>
      <x:c r="B7" s="311" t="str">
        <x:v>Public repository; BigQuery setup for collection</x:v>
      </x:c>
      <x:c r="C7" s="311"/>
      <x:c r="D7" s="311"/>
      <x:c r="E7" s="311"/>
      <x:c r="F7" s="311"/>
      <x:c r="G7" s="311"/>
      <x:c r="H7" s="311"/>
    </x:row>
    <x:row r="8" ht="28" customHeight="1">
      <x:c r="A8" s="313" t="str">
        <x:v>Small next step</x:v>
      </x:c>
      <x:c r="B8" s="311" t="str">
        <x:v>Collect one documented CSV/date/ASN sample; keep observations apart from ML predictions.</x:v>
      </x:c>
      <x:c r="C8" s="311"/>
      <x:c r="D8" s="311"/>
      <x:c r="E8" s="311"/>
      <x:c r="F8" s="311"/>
      <x:c r="G8" s="311"/>
      <x:c r="H8" s="311"/>
    </x:row>
    <x:row r="9" ht="28" customHeight="1">
      <x:c r="A9" s="313" t="str">
        <x:v>Public locator</x:v>
      </x:c>
      <x:c r="B9" s="311" t="str">
        <x:v>https://github.com/SPEAR-Research-Lab/Horizon-Predicting-Starlink-Performance</x:v>
      </x:c>
      <x:c r="C9" s="311"/>
      <x:c r="D9" s="311"/>
      <x:c r="E9" s="311"/>
      <x:c r="F9" s="311"/>
      <x:c r="G9" s="311"/>
      <x:c r="H9" s="311"/>
    </x:row>
    <x:row r="10" ht="36" customHeight="1">
      <x:c r="A10" s="313" t="str">
        <x:v>Evidence / limits</x:v>
      </x:c>
      <x:c r="B10" s="311" t="str">
        <x:v>Repository checked 15 Sep; data DOI 10.4121/0bf59468-e5cb-433f-aeb2-e04cf694b65c. Country-level coverage not inspected. GPL-3.0 code; check separate dataset terms.</x:v>
      </x:c>
      <x:c r="C10" s="311"/>
      <x:c r="D10" s="311"/>
      <x:c r="E10" s="311"/>
      <x:c r="F10" s="311"/>
      <x:c r="G10" s="311"/>
      <x:c r="H10" s="311"/>
    </x:row>
    <x:row r="11">
      <x:c r="A11" s="112"/>
      <x:c r="B11" s="112"/>
      <x:c r="C11" s="112"/>
      <x:c r="D11" s="112"/>
      <x:c r="E11" s="112"/>
      <x:c r="F11" s="112"/>
      <x:c r="G11" s="112"/>
      <x:c r="H11" s="112"/>
    </x:row>
    <x:row r="12" ht="34" customHeight="1">
      <x:c r="A12" s="316" t="str">
        <x:v>NET-03 | Global / HPI research — Breaking Through the Clouds</x:v>
      </x:c>
      <x:c r="B12" s="316"/>
      <x:c r="C12" s="316"/>
      <x:c r="D12" s="316"/>
      <x:c r="E12" s="316"/>
      <x:c r="F12" s="316"/>
      <x:c r="G12" s="316"/>
      <x:c r="H12" s="316"/>
    </x:row>
    <x:row r="13" ht="28" customHeight="1">
      <x:c r="A13" s="313" t="str">
        <x:v>Evidence type</x:v>
      </x:c>
      <x:c r="B13" s="311" t="str">
        <x:v>Measured network / RIPE-derived</x:v>
      </x:c>
      <x:c r="C13" s="311"/>
      <x:c r="D13" s="311"/>
      <x:c r="E13" s="311"/>
      <x:c r="F13" s="311"/>
      <x:c r="G13" s="311"/>
      <x:c r="H13" s="311"/>
    </x:row>
    <x:row r="14" ht="28" customHeight="1">
      <x:c r="A14" s="313" t="str">
        <x:v>Access posture</x:v>
      </x:c>
      <x:c r="B14" s="311" t="str">
        <x:v>Public tooling; bulk archive route to confirm</x:v>
      </x:c>
      <x:c r="C14" s="311"/>
      <x:c r="D14" s="311"/>
      <x:c r="E14" s="311"/>
      <x:c r="F14" s="311"/>
      <x:c r="G14" s="311"/>
      <x:c r="H14" s="311"/>
    </x:row>
    <x:row r="15" ht="28" customHeight="1">
      <x:c r="A15" s="313" t="str">
        <x:v>Small next step</x:v>
      </x:c>
      <x:c r="B15" s="311" t="str">
        <x:v>Identify an archived ping/traceroute sample and probe IDs; inspect loss/disconnect definitions.</x:v>
      </x:c>
      <x:c r="C15" s="311"/>
      <x:c r="D15" s="311"/>
      <x:c r="E15" s="311"/>
      <x:c r="F15" s="311"/>
      <x:c r="G15" s="311"/>
      <x:c r="H15" s="311"/>
    </x:row>
    <x:row r="16" ht="28" customHeight="1">
      <x:c r="A16" s="313" t="str">
        <x:v>Public locator</x:v>
      </x:c>
      <x:c r="B16" s="311" t="str">
        <x:v>https://github.com/diic-starlink/performance-insights-into-starlink</x:v>
      </x:c>
      <x:c r="C16" s="311"/>
      <x:c r="D16" s="311"/>
      <x:c r="E16" s="311"/>
      <x:c r="F16" s="311"/>
      <x:c r="G16" s="311"/>
      <x:c r="H16" s="311"/>
    </x:row>
    <x:row r="17" ht="36" customHeight="1">
      <x:c r="A17" s="313" t="str">
        <x:v>Evidence / limits</x:v>
      </x:c>
      <x:c r="B17" s="311" t="str">
        <x:v>Repository checked 15 Sep; includes ping/traceroute/HTTP/TLS/disconnect tooling. Public code is not proof that every historical file is immediately downloadable.</x:v>
      </x:c>
      <x:c r="C17" s="311"/>
      <x:c r="D17" s="311"/>
      <x:c r="E17" s="311"/>
      <x:c r="F17" s="311"/>
      <x:c r="G17" s="311"/>
      <x:c r="H17" s="311"/>
    </x:row>
    <x:row r="18">
      <x:c r="A18" s="112"/>
      <x:c r="B18" s="112"/>
      <x:c r="C18" s="112"/>
      <x:c r="D18" s="112"/>
      <x:c r="E18" s="112"/>
      <x:c r="F18" s="112"/>
      <x:c r="G18" s="112"/>
      <x:c r="H18" s="112"/>
    </x:row>
    <x:row r="19" ht="34" customHeight="1">
      <x:c r="A19" s="316" t="str">
        <x:v>AR-02 | Argentina / Chile — Tucumán Space Weather Center — ACVID / TEC</x:v>
      </x:c>
      <x:c r="B19" s="316"/>
      <x:c r="C19" s="316"/>
      <x:c r="D19" s="316"/>
      <x:c r="E19" s="316"/>
      <x:c r="F19" s="316"/>
      <x:c r="G19" s="316"/>
      <x:c r="H19" s="316"/>
    </x:row>
    <x:row r="20" ht="28" customHeight="1">
      <x:c r="A20" s="313" t="str">
        <x:v>Evidence type</x:v>
      </x:c>
      <x:c r="B20" s="311" t="str">
        <x:v>Environmental / ionospheric</x:v>
      </x:c>
      <x:c r="C20" s="311"/>
      <x:c r="D20" s="311"/>
      <x:c r="E20" s="311"/>
      <x:c r="F20" s="311"/>
      <x:c r="G20" s="311"/>
      <x:c r="H20" s="311"/>
    </x:row>
    <x:row r="21" ht="28" customHeight="1">
      <x:c r="A21" s="313" t="str">
        <x:v>Access posture</x:v>
      </x:c>
      <x:c r="B21" s="311" t="str">
        <x:v>Public interactive catalog; numerical export/terms to inspect</x:v>
      </x:c>
      <x:c r="C21" s="311"/>
      <x:c r="D21" s="311"/>
      <x:c r="E21" s="311"/>
      <x:c r="F21" s="311"/>
      <x:c r="G21" s="311"/>
      <x:c r="H21" s="311"/>
    </x:row>
    <x:row r="22" ht="36" customHeight="1">
      <x:c r="A22" s="313" t="str">
        <x:v>Small next step</x:v>
      </x:c>
      <x:c r="B22" s="311" t="str">
        <x:v>Select one station and quiet/disturbed days; obtain numerical TEC or manually validated ionosonde export.</x:v>
      </x:c>
      <x:c r="C22" s="311"/>
      <x:c r="D22" s="311"/>
      <x:c r="E22" s="311"/>
      <x:c r="F22" s="311"/>
      <x:c r="G22" s="311"/>
      <x:c r="H22" s="311"/>
    </x:row>
    <x:row r="23" ht="28" customHeight="1">
      <x:c r="A23" s="313" t="str">
        <x:v>Public locator</x:v>
      </x:c>
      <x:c r="B23" s="311" t="str">
        <x:v>https://spaceweather.facet.unt.edu.ar/ionoagram-database/</x:v>
      </x:c>
      <x:c r="C23" s="311"/>
      <x:c r="D23" s="311"/>
      <x:c r="E23" s="311"/>
      <x:c r="F23" s="311"/>
      <x:c r="G23" s="311"/>
      <x:c r="H23" s="311"/>
    </x:row>
    <x:row r="24" ht="36" customHeight="1">
      <x:c r="A24" s="313" t="str">
        <x:v>Evidence / limits</x:v>
      </x:c>
      <x:c r="B24" s="311" t="str">
        <x:v>Catalog checked 15 Sep; Argentine calibrated TEC and Argentine-Chilean validated ionosonde database described. Not network latency.</x:v>
      </x:c>
      <x:c r="C24" s="311"/>
      <x:c r="D24" s="311"/>
      <x:c r="E24" s="311"/>
      <x:c r="F24" s="311"/>
      <x:c r="G24" s="311"/>
      <x:c r="H24" s="311"/>
    </x:row>
    <x:row r="25">
      <x:c r="A25" s="112"/>
      <x:c r="B25" s="112"/>
      <x:c r="C25" s="112"/>
      <x:c r="D25" s="112"/>
      <x:c r="E25" s="112"/>
      <x:c r="F25" s="112"/>
      <x:c r="G25" s="112"/>
      <x:c r="H25" s="112"/>
    </x:row>
    <x:row r="26" ht="34" customHeight="1">
      <x:c r="A26" s="316" t="str">
        <x:v>AQ-03 | Antarctica / Japan — NICT — Syowa ionosonde archive</x:v>
      </x:c>
      <x:c r="B26" s="316"/>
      <x:c r="C26" s="316"/>
      <x:c r="D26" s="316"/>
      <x:c r="E26" s="316"/>
      <x:c r="F26" s="316"/>
      <x:c r="G26" s="316"/>
      <x:c r="H26" s="316"/>
    </x:row>
    <x:row r="27" ht="28" customHeight="1">
      <x:c r="A27" s="313" t="str">
        <x:v>Evidence type</x:v>
      </x:c>
      <x:c r="B27" s="311" t="str">
        <x:v>Environmental / ionospheric</x:v>
      </x:c>
      <x:c r="C27" s="311"/>
      <x:c r="D27" s="311"/>
      <x:c r="E27" s="311"/>
      <x:c r="F27" s="311"/>
      <x:c r="G27" s="311"/>
      <x:c r="H27" s="311"/>
    </x:row>
    <x:row r="28" ht="28" customHeight="1">
      <x:c r="A28" s="313" t="str">
        <x:v>Access posture</x:v>
      </x:c>
      <x:c r="B28" s="311" t="str">
        <x:v>Public archive and text-product links</x:v>
      </x:c>
      <x:c r="C28" s="311"/>
      <x:c r="D28" s="311"/>
      <x:c r="E28" s="311"/>
      <x:c r="F28" s="311"/>
      <x:c r="G28" s="311"/>
      <x:c r="H28" s="311"/>
    </x:row>
    <x:row r="29" ht="36" customHeight="1">
      <x:c r="A29" s="313" t="str">
        <x:v>Small next step</x:v>
      </x:c>
      <x:c r="B29" s="311" t="str">
        <x:v>Use station/product selector; distinguish ionogram images, manually scaled values and autoscaled series.</x:v>
      </x:c>
      <x:c r="C29" s="311"/>
      <x:c r="D29" s="311"/>
      <x:c r="E29" s="311"/>
      <x:c r="F29" s="311"/>
      <x:c r="G29" s="311"/>
      <x:c r="H29" s="311"/>
    </x:row>
    <x:row r="30" ht="28" customHeight="1">
      <x:c r="A30" s="313" t="str">
        <x:v>Public locator</x:v>
      </x:c>
      <x:c r="B30" s="311" t="str">
        <x:v>https://wdc.nict.go.jp/Ionosphere/en/archive/</x:v>
      </x:c>
      <x:c r="C30" s="311"/>
      <x:c r="D30" s="311"/>
      <x:c r="E30" s="311"/>
      <x:c r="F30" s="311"/>
      <x:c r="G30" s="311"/>
      <x:c r="H30" s="311"/>
    </x:row>
    <x:row r="31" ht="36" customHeight="1">
      <x:c r="A31" s="313" t="str">
        <x:v>Evidence / limits</x:v>
      </x:c>
      <x:c r="B31" s="311" t="str">
        <x:v>Archive checked 15 Sep; exact Syowa file coverage/cadence to inspect. Does not add a second NICT reply.</x:v>
      </x:c>
      <x:c r="C31" s="311"/>
      <x:c r="D31" s="311"/>
      <x:c r="E31" s="311"/>
      <x:c r="F31" s="311"/>
      <x:c r="G31" s="311"/>
      <x:c r="H31" s="311"/>
    </x:row>
    <x:row r="32">
      <x:c r="A32" s="112"/>
      <x:c r="B32" s="112"/>
      <x:c r="C32" s="112"/>
      <x:c r="D32" s="112"/>
      <x:c r="E32" s="112"/>
      <x:c r="F32" s="112"/>
      <x:c r="G32" s="112"/>
      <x:c r="H32" s="112"/>
    </x:row>
    <x:row r="33" ht="34" customHeight="1">
      <x:c r="A33" s="316" t="str">
        <x:v>AQ-04 | Antarctica / Australia — ASWFC — Casey / Mawson / Davis</x:v>
      </x:c>
      <x:c r="B33" s="316"/>
      <x:c r="C33" s="316"/>
      <x:c r="D33" s="316"/>
      <x:c r="E33" s="316"/>
      <x:c r="F33" s="316"/>
      <x:c r="G33" s="316"/>
      <x:c r="H33" s="316"/>
    </x:row>
    <x:row r="34" ht="28" customHeight="1">
      <x:c r="A34" s="313" t="str">
        <x:v>Evidence type</x:v>
      </x:c>
      <x:c r="B34" s="311" t="str">
        <x:v>Environmental / ionospheric</x:v>
      </x:c>
      <x:c r="C34" s="311"/>
      <x:c r="D34" s="311"/>
      <x:c r="E34" s="311"/>
      <x:c r="F34" s="311"/>
      <x:c r="G34" s="311"/>
      <x:c r="H34" s="311"/>
    </x:row>
    <x:row r="35" ht="28" customHeight="1">
      <x:c r="A35" s="313" t="str">
        <x:v>Access posture</x:v>
      </x:c>
      <x:c r="B35" s="311" t="str">
        <x:v>Public catalog and HTTPS download route</x:v>
      </x:c>
      <x:c r="C35" s="311"/>
      <x:c r="D35" s="311"/>
      <x:c r="E35" s="311"/>
      <x:c r="F35" s="311"/>
      <x:c r="G35" s="311"/>
      <x:c r="H35" s="311"/>
    </x:row>
    <x:row r="36" ht="28" customHeight="1">
      <x:c r="A36" s="313" t="str">
        <x:v>Small next step</x:v>
      </x:c>
      <x:c r="B36" s="311" t="str">
        <x:v>Select station and numerical product; retain station open/close intervals and gap flags.</x:v>
      </x:c>
      <x:c r="C36" s="311"/>
      <x:c r="D36" s="311"/>
      <x:c r="E36" s="311"/>
      <x:c r="F36" s="311"/>
      <x:c r="G36" s="311"/>
      <x:c r="H36" s="311"/>
    </x:row>
    <x:row r="37" ht="28" customHeight="1">
      <x:c r="A37" s="313" t="str">
        <x:v>Public locator</x:v>
      </x:c>
      <x:c r="B37" s="311" t="str">
        <x:v>https://www.sws.bom.gov.au/World_Data_Centre/2/2</x:v>
      </x:c>
      <x:c r="C37" s="311"/>
      <x:c r="D37" s="311"/>
      <x:c r="E37" s="311"/>
      <x:c r="F37" s="311"/>
      <x:c r="G37" s="311"/>
      <x:c r="H37" s="311"/>
    </x:row>
    <x:row r="38" ht="36" customHeight="1">
      <x:c r="A38" s="313" t="str">
        <x:v>Evidence / limits</x:v>
      </x:c>
      <x:c r="B38" s="311" t="str">
        <x:v>Catalog checked 15 Sep. Historical station operation dates do not imply uninterrupted data coverage.</x:v>
      </x:c>
      <x:c r="C38" s="311"/>
      <x:c r="D38" s="311"/>
      <x:c r="E38" s="311"/>
      <x:c r="F38" s="311"/>
      <x:c r="G38" s="311"/>
      <x:c r="H38" s="311"/>
    </x:row>
    <x:row r="39">
      <x:c r="A39" s="112"/>
      <x:c r="B39" s="112"/>
      <x:c r="C39" s="112"/>
      <x:c r="D39" s="112"/>
      <x:c r="E39" s="112"/>
      <x:c r="F39" s="112"/>
      <x:c r="G39" s="112"/>
      <x:c r="H39" s="112"/>
    </x:row>
    <x:row r="40" ht="34" customHeight="1">
      <x:c r="A40" s="316" t="str">
        <x:v>AQ-05 | Polar / UK — BAS — SuperDARN</x:v>
      </x:c>
      <x:c r="B40" s="316"/>
      <x:c r="C40" s="316"/>
      <x:c r="D40" s="316"/>
      <x:c r="E40" s="316"/>
      <x:c r="F40" s="316"/>
      <x:c r="G40" s="316"/>
      <x:c r="H40" s="316"/>
    </x:row>
    <x:row r="41" ht="28" customHeight="1">
      <x:c r="A41" s="313" t="str">
        <x:v>Evidence type</x:v>
      </x:c>
      <x:c r="B41" s="311" t="str">
        <x:v>Environmental / radar</x:v>
      </x:c>
      <x:c r="C41" s="311"/>
      <x:c r="D41" s="311"/>
      <x:c r="E41" s="311"/>
      <x:c r="F41" s="311"/>
      <x:c r="G41" s="311"/>
      <x:c r="H41" s="311"/>
    </x:row>
    <x:row r="42" ht="28" customHeight="1">
      <x:c r="A42" s="313" t="str">
        <x:v>Access posture</x:v>
      </x:c>
      <x:c r="B42" s="311" t="str">
        <x:v>Project lead; automated page check blocked</x:v>
      </x:c>
      <x:c r="C42" s="311"/>
      <x:c r="D42" s="311"/>
      <x:c r="E42" s="311"/>
      <x:c r="F42" s="311"/>
      <x:c r="G42" s="311"/>
      <x:c r="H42" s="311"/>
    </x:row>
    <x:row r="43" ht="28" customHeight="1">
      <x:c r="A43" s="313" t="str">
        <x:v>Small next step</x:v>
      </x:c>
      <x:c r="B43" s="311" t="str">
        <x:v>Use official catalog in browser to establish selected radar, export, licence and registration.</x:v>
      </x:c>
      <x:c r="C43" s="311"/>
      <x:c r="D43" s="311"/>
      <x:c r="E43" s="311"/>
      <x:c r="F43" s="311"/>
      <x:c r="G43" s="311"/>
      <x:c r="H43" s="311"/>
    </x:row>
    <x:row r="44" ht="28" customHeight="1">
      <x:c r="A44" s="313" t="str">
        <x:v>Public locator</x:v>
      </x:c>
      <x:c r="B44" s="311" t="str">
        <x:v>https://www.bas.ac.uk/project/superdarn/</x:v>
      </x:c>
      <x:c r="C44" s="311"/>
      <x:c r="D44" s="311"/>
      <x:c r="E44" s="311"/>
      <x:c r="F44" s="311"/>
      <x:c r="G44" s="311"/>
      <x:c r="H44" s="311"/>
    </x:row>
    <x:row r="45" ht="36" customHeight="1">
      <x:c r="A45" s="313" t="str">
        <x:v>Evidence / limits</x:v>
      </x:c>
      <x:c r="B45" s="311" t="str">
        <x:v>Prior thread research lead. 15 Sep check encountered browser verification; no bypass, data retrieval or public-download guarantee.</x:v>
      </x:c>
      <x:c r="C45" s="311"/>
      <x:c r="D45" s="311"/>
      <x:c r="E45" s="311"/>
      <x:c r="F45" s="311"/>
      <x:c r="G45" s="311"/>
      <x:c r="H45" s="311"/>
    </x:row>
    <x:row r="46">
      <x:c r="A46" s="112"/>
      <x:c r="B46" s="112"/>
      <x:c r="C46" s="112"/>
      <x:c r="D46" s="112"/>
      <x:c r="E46" s="112"/>
      <x:c r="F46" s="112"/>
      <x:c r="G46" s="112"/>
      <x:c r="H46" s="112"/>
    </x:row>
    <x:row r="47" ht="34" customHeight="1">
      <x:c r="A47" s="316" t="str">
        <x:v>LK-02 | Sri Lanka — IGS — SGOC00LKA, Colombo</x:v>
      </x:c>
      <x:c r="B47" s="316"/>
      <x:c r="C47" s="316"/>
      <x:c r="D47" s="316"/>
      <x:c r="E47" s="316"/>
      <x:c r="F47" s="316"/>
      <x:c r="G47" s="316"/>
      <x:c r="H47" s="316"/>
    </x:row>
    <x:row r="48" ht="28" customHeight="1">
      <x:c r="A48" s="313" t="str">
        <x:v>Evidence type</x:v>
      </x:c>
      <x:c r="B48" s="311" t="str">
        <x:v>GNSS observations / environmental derivation</x:v>
      </x:c>
      <x:c r="C48" s="311"/>
      <x:c r="D48" s="311"/>
      <x:c r="E48" s="311"/>
      <x:c r="F48" s="311"/>
      <x:c r="G48" s="311"/>
      <x:c r="H48" s="311"/>
    </x:row>
    <x:row r="49" ht="28" customHeight="1">
      <x:c r="A49" s="313" t="str">
        <x:v>Access posture</x:v>
      </x:c>
      <x:c r="B49" s="311" t="str">
        <x:v>Public station metadata; data-center login may apply</x:v>
      </x:c>
      <x:c r="C49" s="311"/>
      <x:c r="D49" s="311"/>
      <x:c r="E49" s="311"/>
      <x:c r="F49" s="311"/>
      <x:c r="G49" s="311"/>
      <x:c r="H49" s="311"/>
    </x:row>
    <x:row r="50" ht="36" customHeight="1">
      <x:c r="A50" s="313" t="str">
        <x:v>Small next step</x:v>
      </x:c>
      <x:c r="B50" s="311" t="str">
        <x:v>Choose one linked data center and one RINEX observation day; check receiver and observation types.</x:v>
      </x:c>
      <x:c r="C50" s="311"/>
      <x:c r="D50" s="311"/>
      <x:c r="E50" s="311"/>
      <x:c r="F50" s="311"/>
      <x:c r="G50" s="311"/>
      <x:c r="H50" s="311"/>
    </x:row>
    <x:row r="51" ht="28" customHeight="1">
      <x:c r="A51" s="313" t="str">
        <x:v>Public locator</x:v>
      </x:c>
      <x:c r="B51" s="311" t="str">
        <x:v>https://network.igs.org/SGOC00LKA</x:v>
      </x:c>
      <x:c r="C51" s="311"/>
      <x:c r="D51" s="311"/>
      <x:c r="E51" s="311"/>
      <x:c r="F51" s="311"/>
      <x:c r="G51" s="311"/>
      <x:c r="H51" s="311"/>
    </x:row>
    <x:row r="52" ht="28" customHeight="1">
      <x:c r="A52" s="313" t="str">
        <x:v>Evidence / limits</x:v>
      </x:c>
      <x:c r="B52" s="311" t="str">
        <x:v>Station page checked 15 Sep. RINEX requires processing to derive TEC; not direct RTT or uptime.</x:v>
      </x:c>
      <x:c r="C52" s="311"/>
      <x:c r="D52" s="311"/>
      <x:c r="E52" s="311"/>
      <x:c r="F52" s="311"/>
      <x:c r="G52" s="311"/>
      <x:c r="H52" s="311"/>
    </x:row>
    <x:row r="53">
      <x:c r="A53" s="112"/>
      <x:c r="B53" s="112"/>
      <x:c r="C53" s="112"/>
      <x:c r="D53" s="112"/>
      <x:c r="E53" s="112"/>
      <x:c r="F53" s="112"/>
      <x:c r="G53" s="112"/>
      <x:c r="H53" s="112"/>
    </x:row>
    <x:row r="54" ht="34" customHeight="1">
      <x:c r="A54" s="316" t="str">
        <x:v>IN-03 | India / Antarctic programs — NCPOR — Polar data archive</x:v>
      </x:c>
      <x:c r="B54" s="316"/>
      <x:c r="C54" s="316"/>
      <x:c r="D54" s="316"/>
      <x:c r="E54" s="316"/>
      <x:c r="F54" s="316"/>
      <x:c r="G54" s="316"/>
      <x:c r="H54" s="316"/>
    </x:row>
    <x:row r="55" ht="28" customHeight="1">
      <x:c r="A55" s="313" t="str">
        <x:v>Evidence type</x:v>
      </x:c>
      <x:c r="B55" s="311" t="str">
        <x:v>Environmental / ionosonde, riometer, GPS</x:v>
      </x:c>
      <x:c r="C55" s="311"/>
      <x:c r="D55" s="311"/>
      <x:c r="E55" s="311"/>
      <x:c r="F55" s="311"/>
      <x:c r="G55" s="311"/>
      <x:c r="H55" s="311"/>
    </x:row>
    <x:row r="56" ht="28" customHeight="1">
      <x:c r="A56" s="313" t="str">
        <x:v>Access posture</x:v>
      </x:c>
      <x:c r="B56" s="311" t="str">
        <x:v>Mixed public download and Request Data</x:v>
      </x:c>
      <x:c r="C56" s="311"/>
      <x:c r="D56" s="311"/>
      <x:c r="E56" s="311"/>
      <x:c r="F56" s="311"/>
      <x:c r="G56" s="311"/>
      <x:c r="H56" s="311"/>
    </x:row>
    <x:row r="57" ht="28" customHeight="1">
      <x:c r="A57" s="313" t="str">
        <x:v>Small next step</x:v>
      </x:c>
      <x:c r="B57" s="311" t="str">
        <x:v>Choose product first, then follow displayed Get Data/Request Data path and citation conditions.</x:v>
      </x:c>
      <x:c r="C57" s="311"/>
      <x:c r="D57" s="311"/>
      <x:c r="E57" s="311"/>
      <x:c r="F57" s="311"/>
      <x:c r="G57" s="311"/>
      <x:c r="H57" s="311"/>
    </x:row>
    <x:row r="58" ht="28" customHeight="1">
      <x:c r="A58" s="313" t="str">
        <x:v>Public locator</x:v>
      </x:c>
      <x:c r="B58" s="311" t="str">
        <x:v>https://data.ncpor.res.in/newhtml/</x:v>
      </x:c>
      <x:c r="C58" s="311"/>
      <x:c r="D58" s="311"/>
      <x:c r="E58" s="311"/>
      <x:c r="F58" s="311"/>
      <x:c r="G58" s="311"/>
      <x:c r="H58" s="311"/>
    </x:row>
    <x:row r="59" ht="36" customHeight="1">
      <x:c r="A59" s="313" t="str">
        <x:v>Evidence / limits</x:v>
      </x:c>
      <x:c r="B59" s="311" t="str">
        <x:v>Catalog checked 15 Sep. Do not generalize one product's access to all products or assume unrestricted redistribution.</x:v>
      </x:c>
      <x:c r="C59" s="311"/>
      <x:c r="D59" s="311"/>
      <x:c r="E59" s="311"/>
      <x:c r="F59" s="311"/>
      <x:c r="G59" s="311"/>
      <x:c r="H59" s="311"/>
    </x:row>
    <x:row r="60">
      <x:c r="A60" s="112"/>
      <x:c r="B60" s="112"/>
      <x:c r="C60" s="112"/>
      <x:c r="D60" s="112"/>
      <x:c r="E60" s="112"/>
      <x:c r="F60" s="112"/>
      <x:c r="G60" s="112"/>
      <x:c r="H60" s="112"/>
    </x:row>
    <x:row r="61" ht="34" customHeight="1">
      <x:c r="A61" s="316" t="str">
        <x:v>BD-03 | Bangladesh — EarthScope / UNAVCO — GNSS station data</x:v>
      </x:c>
      <x:c r="B61" s="316"/>
      <x:c r="C61" s="316"/>
      <x:c r="D61" s="316"/>
      <x:c r="E61" s="316"/>
      <x:c r="F61" s="316"/>
      <x:c r="G61" s="316"/>
      <x:c r="H61" s="316"/>
    </x:row>
    <x:row r="62" ht="28" customHeight="1">
      <x:c r="A62" s="313" t="str">
        <x:v>Evidence type</x:v>
      </x:c>
      <x:c r="B62" s="311" t="str">
        <x:v>GNSS observations / environmental derivation</x:v>
      </x:c>
      <x:c r="C62" s="311"/>
      <x:c r="D62" s="311"/>
      <x:c r="E62" s="311"/>
      <x:c r="F62" s="311"/>
      <x:c r="G62" s="311"/>
      <x:c r="H62" s="311"/>
    </x:row>
    <x:row r="63" ht="28" customHeight="1">
      <x:c r="A63" s="313" t="str">
        <x:v>Access posture</x:v>
      </x:c>
      <x:c r="B63" s="311" t="str">
        <x:v>Repository lead; account/file access to confirm</x:v>
      </x:c>
      <x:c r="C63" s="311"/>
      <x:c r="D63" s="311"/>
      <x:c r="E63" s="311"/>
      <x:c r="F63" s="311"/>
      <x:c r="G63" s="311"/>
      <x:c r="H63" s="311"/>
    </x:row>
    <x:row r="64" ht="28" customHeight="1">
      <x:c r="A64" s="313" t="str">
        <x:v>Small next step</x:v>
      </x:c>
      <x:c r="B64" s="311" t="str">
        <x:v>Resolve station DOI, inspect RINEX availability and research-use documentation.</x:v>
      </x:c>
      <x:c r="C64" s="311"/>
      <x:c r="D64" s="311"/>
      <x:c r="E64" s="311"/>
      <x:c r="F64" s="311"/>
      <x:c r="G64" s="311"/>
      <x:c r="H64" s="311"/>
    </x:row>
    <x:row r="65" ht="28" customHeight="1">
      <x:c r="A65" s="313" t="str">
        <x:v>Public locator</x:v>
      </x:c>
      <x:c r="B65" s="311" t="str">
        <x:v>https://www.unavco.org/data/doi/10.7283/T5GH9GRD</x:v>
      </x:c>
      <x:c r="C65" s="311"/>
      <x:c r="D65" s="311"/>
      <x:c r="E65" s="311"/>
      <x:c r="F65" s="311"/>
      <x:c r="G65" s="311"/>
      <x:c r="H65" s="311"/>
    </x:row>
    <x:row r="66" ht="36" customHeight="1">
      <x:c r="A66" s="313" t="str">
        <x:v>Evidence / limits</x:v>
      </x:c>
      <x:c r="B66" s="311" t="str">
        <x:v>Carried from prior conversation; exact station/interval access not rechecked this update. Not direct communications latency.</x:v>
      </x:c>
      <x:c r="C66" s="311"/>
      <x:c r="D66" s="311"/>
      <x:c r="E66" s="311"/>
      <x:c r="F66" s="311"/>
      <x:c r="G66" s="311"/>
      <x:c r="H66" s="311"/>
    </x:row>
    <x:row r="67">
      <x:c r="A67" s="112"/>
      <x:c r="B67" s="112"/>
      <x:c r="C67" s="112"/>
      <x:c r="D67" s="112"/>
      <x:c r="E67" s="112"/>
      <x:c r="F67" s="112"/>
      <x:c r="G67" s="112"/>
      <x:c r="H67" s="112"/>
    </x:row>
    <x:row r="68" ht="34" customHeight="1">
      <x:c r="A68" s="316" t="str">
        <x:v>ISL-02 | Australian Christmas Island — IGS — XMIS00AUS</x:v>
      </x:c>
      <x:c r="B68" s="316"/>
      <x:c r="C68" s="316"/>
      <x:c r="D68" s="316"/>
      <x:c r="E68" s="316"/>
      <x:c r="F68" s="316"/>
      <x:c r="G68" s="316"/>
      <x:c r="H68" s="316"/>
    </x:row>
    <x:row r="69" ht="28" customHeight="1">
      <x:c r="A69" s="313" t="str">
        <x:v>Evidence type</x:v>
      </x:c>
      <x:c r="B69" s="311" t="str">
        <x:v>GNSS observations</x:v>
      </x:c>
      <x:c r="C69" s="311"/>
      <x:c r="D69" s="311"/>
      <x:c r="E69" s="311"/>
      <x:c r="F69" s="311"/>
      <x:c r="G69" s="311"/>
      <x:c r="H69" s="311"/>
    </x:row>
    <x:row r="70" ht="28" customHeight="1">
      <x:c r="A70" s="313" t="str">
        <x:v>Access posture</x:v>
      </x:c>
      <x:c r="B70" s="311" t="str">
        <x:v>Public station metadata; data-center login may apply</x:v>
      </x:c>
      <x:c r="C70" s="311"/>
      <x:c r="D70" s="311"/>
      <x:c r="E70" s="311"/>
      <x:c r="F70" s="311"/>
      <x:c r="G70" s="311"/>
      <x:c r="H70" s="311"/>
    </x:row>
    <x:row r="71" ht="28" customHeight="1">
      <x:c r="A71" s="313" t="str">
        <x:v>Small next step</x:v>
      </x:c>
      <x:c r="B71" s="311" t="str">
        <x:v>Follow station data-center links for one day of observations and metadata.</x:v>
      </x:c>
      <x:c r="C71" s="311"/>
      <x:c r="D71" s="311"/>
      <x:c r="E71" s="311"/>
      <x:c r="F71" s="311"/>
      <x:c r="G71" s="311"/>
      <x:c r="H71" s="311"/>
    </x:row>
    <x:row r="72" ht="28" customHeight="1">
      <x:c r="A72" s="313" t="str">
        <x:v>Public locator</x:v>
      </x:c>
      <x:c r="B72" s="311" t="str">
        <x:v>https://network.igs.org/XMIS00AUS</x:v>
      </x:c>
      <x:c r="C72" s="311"/>
      <x:c r="D72" s="311"/>
      <x:c r="E72" s="311"/>
      <x:c r="F72" s="311"/>
      <x:c r="G72" s="311"/>
      <x:c r="H72" s="311"/>
    </x:row>
    <x:row r="73" ht="28" customHeight="1">
      <x:c r="A73" s="313" t="str">
        <x:v>Evidence / limits</x:v>
      </x:c>
      <x:c r="B73" s="311" t="str">
        <x:v>Station page checked 15 Sep. This is Australian Christmas Island, not Kiritimati/Kiribati.</x:v>
      </x:c>
      <x:c r="C73" s="311"/>
      <x:c r="D73" s="311"/>
      <x:c r="E73" s="311"/>
      <x:c r="F73" s="311"/>
      <x:c r="G73" s="311"/>
      <x:c r="H73" s="311"/>
    </x:row>
    <x:row r="74">
      <x:c r="A74" s="112"/>
      <x:c r="B74" s="112"/>
      <x:c r="C74" s="112"/>
      <x:c r="D74" s="112"/>
      <x:c r="E74" s="112"/>
      <x:c r="F74" s="112"/>
      <x:c r="G74" s="112"/>
      <x:c r="H74" s="112"/>
    </x:row>
    <x:row r="75" ht="34" customHeight="1">
      <x:c r="A75" s="316" t="str">
        <x:v>ISL-03 | Ascension Island — IGS — ASCG00SHN</x:v>
      </x:c>
      <x:c r="B75" s="316"/>
      <x:c r="C75" s="316"/>
      <x:c r="D75" s="316"/>
      <x:c r="E75" s="316"/>
      <x:c r="F75" s="316"/>
      <x:c r="G75" s="316"/>
      <x:c r="H75" s="316"/>
    </x:row>
    <x:row r="76" ht="28" customHeight="1">
      <x:c r="A76" s="313" t="str">
        <x:v>Evidence type</x:v>
      </x:c>
      <x:c r="B76" s="311" t="str">
        <x:v>GNSS observations</x:v>
      </x:c>
      <x:c r="C76" s="311"/>
      <x:c r="D76" s="311"/>
      <x:c r="E76" s="311"/>
      <x:c r="F76" s="311"/>
      <x:c r="G76" s="311"/>
      <x:c r="H76" s="311"/>
    </x:row>
    <x:row r="77" ht="28" customHeight="1">
      <x:c r="A77" s="313" t="str">
        <x:v>Access posture</x:v>
      </x:c>
      <x:c r="B77" s="311" t="str">
        <x:v>Public station metadata; data-center login may apply</x:v>
      </x:c>
      <x:c r="C77" s="311"/>
      <x:c r="D77" s="311"/>
      <x:c r="E77" s="311"/>
      <x:c r="F77" s="311"/>
      <x:c r="G77" s="311"/>
      <x:c r="H77" s="311"/>
    </x:row>
    <x:row r="78" ht="28" customHeight="1">
      <x:c r="A78" s="313" t="str">
        <x:v>Small next step</x:v>
      </x:c>
      <x:c r="B78" s="311" t="str">
        <x:v>Download one receiver/day sample via a linked data center and document licence and processing.</x:v>
      </x:c>
      <x:c r="C78" s="311"/>
      <x:c r="D78" s="311"/>
      <x:c r="E78" s="311"/>
      <x:c r="F78" s="311"/>
      <x:c r="G78" s="311"/>
      <x:c r="H78" s="311"/>
    </x:row>
    <x:row r="79" ht="28" customHeight="1">
      <x:c r="A79" s="313" t="str">
        <x:v>Public locator</x:v>
      </x:c>
      <x:c r="B79" s="311" t="str">
        <x:v>https://network.igs.org/ASCG00SHN</x:v>
      </x:c>
      <x:c r="C79" s="311"/>
      <x:c r="D79" s="311"/>
      <x:c r="E79" s="311"/>
      <x:c r="F79" s="311"/>
      <x:c r="G79" s="311"/>
      <x:c r="H79" s="311"/>
    </x:row>
    <x:row r="80" ht="36" customHeight="1">
      <x:c r="A80" s="313" t="str">
        <x:v>Evidence / limits</x:v>
      </x:c>
      <x:c r="B80" s="311" t="str">
        <x:v>Station page checked 15 Sep; derived ionospheric/geodetic evidence, not measured network service availability.</x:v>
      </x:c>
      <x:c r="C80" s="311"/>
      <x:c r="D80" s="311"/>
      <x:c r="E80" s="311"/>
      <x:c r="F80" s="311"/>
      <x:c r="G80" s="311"/>
      <x:c r="H80" s="311"/>
    </x:row>
    <x:row r="81">
      <x:c r="A81" s="112"/>
      <x:c r="B81" s="112"/>
      <x:c r="C81" s="112"/>
      <x:c r="D81" s="112"/>
      <x:c r="E81" s="112"/>
      <x:c r="F81" s="112"/>
      <x:c r="G81" s="112"/>
      <x:c r="H81" s="112"/>
    </x:row>
    <x:row r="82" ht="34" customHeight="1">
      <x:c r="A82" s="316" t="str">
        <x:v>ISL-04 | Diego Garcia / Cocos / Port Blair — GNSS study and Geoscience Australia data route</x:v>
      </x:c>
      <x:c r="B82" s="316"/>
      <x:c r="C82" s="316"/>
      <x:c r="D82" s="316"/>
      <x:c r="E82" s="316"/>
      <x:c r="F82" s="316"/>
      <x:c r="G82" s="316"/>
      <x:c r="H82" s="316"/>
    </x:row>
    <x:row r="83" ht="28" customHeight="1">
      <x:c r="A83" s="313" t="str">
        <x:v>Evidence type</x:v>
      </x:c>
      <x:c r="B83" s="311" t="str">
        <x:v>GNSS / ionospheric study</x:v>
      </x:c>
      <x:c r="C83" s="311"/>
      <x:c r="D83" s="311"/>
      <x:c r="E83" s="311"/>
      <x:c r="F83" s="311"/>
      <x:c r="G83" s="311"/>
      <x:c r="H83" s="311"/>
    </x:row>
    <x:row r="84" ht="28" customHeight="1">
      <x:c r="A84" s="313" t="str">
        <x:v>Access posture</x:v>
      </x:c>
      <x:c r="B84" s="311" t="str">
        <x:v>Published study lead; exact data endpoint to confirm</x:v>
      </x:c>
      <x:c r="C84" s="311"/>
      <x:c r="D84" s="311"/>
      <x:c r="E84" s="311"/>
      <x:c r="F84" s="311"/>
      <x:c r="G84" s="311"/>
      <x:c r="H84" s="311"/>
    </x:row>
    <x:row r="85" ht="28" customHeight="1">
      <x:c r="A85" s="313" t="str">
        <x:v>Small next step</x:v>
      </x:c>
      <x:c r="B85" s="311" t="str">
        <x:v>Use publication data-availability section to identify station IDs and repository paths.</x:v>
      </x:c>
      <x:c r="C85" s="311"/>
      <x:c r="D85" s="311"/>
      <x:c r="E85" s="311"/>
      <x:c r="F85" s="311"/>
      <x:c r="G85" s="311"/>
      <x:c r="H85" s="311"/>
    </x:row>
    <x:row r="86" ht="28" customHeight="1">
      <x:c r="A86" s="313" t="str">
        <x:v>Public locator</x:v>
      </x:c>
      <x:c r="B86" s="311" t="str">
        <x:v>https://doi.org/10.1029/2024JA033520</x:v>
      </x:c>
      <x:c r="C86" s="311"/>
      <x:c r="D86" s="311"/>
      <x:c r="E86" s="311"/>
      <x:c r="F86" s="311"/>
      <x:c r="G86" s="311"/>
      <x:c r="H86" s="311"/>
    </x:row>
    <x:row r="87" ht="36" customHeight="1">
      <x:c r="A87" s="313" t="str">
        <x:v>Evidence / limits</x:v>
      </x:c>
      <x:c r="B87" s="311" t="str">
        <x:v>Carried from prior conversation; numerical sample not inspected. Do not infer restricted facility/network data access from public GNSS observations.</x:v>
      </x:c>
      <x:c r="C87" s="311"/>
      <x:c r="D87" s="311"/>
      <x:c r="E87" s="311"/>
      <x:c r="F87" s="311"/>
      <x:c r="G87" s="311"/>
      <x:c r="H87" s="311"/>
    </x:row>
    <x:row r="88">
      <x:c r="A88" s="112"/>
      <x:c r="B88" s="112"/>
      <x:c r="C88" s="112"/>
      <x:c r="D88" s="112"/>
      <x:c r="E88" s="112"/>
      <x:c r="F88" s="112"/>
      <x:c r="G88" s="112"/>
      <x:c r="H88" s="112"/>
    </x:row>
    <x:row r="89" ht="34" customHeight="1">
      <x:c r="A89" s="316" t="str">
        <x:v>POL-01 | Norway / Svalbard / EISCAT — EISCAT portal</x:v>
      </x:c>
      <x:c r="B89" s="316"/>
      <x:c r="C89" s="316"/>
      <x:c r="D89" s="316"/>
      <x:c r="E89" s="316"/>
      <x:c r="F89" s="316"/>
      <x:c r="G89" s="316"/>
      <x:c r="H89" s="316"/>
    </x:row>
    <x:row r="90" ht="28" customHeight="1">
      <x:c r="A90" s="313" t="str">
        <x:v>Evidence type</x:v>
      </x:c>
      <x:c r="B90" s="311" t="str">
        <x:v>Environmental / ionospheric radar</x:v>
      </x:c>
      <x:c r="C90" s="311"/>
      <x:c r="D90" s="311"/>
      <x:c r="E90" s="311"/>
      <x:c r="F90" s="311"/>
      <x:c r="G90" s="311"/>
      <x:c r="H90" s="311"/>
    </x:row>
    <x:row r="91" ht="28" customHeight="1">
      <x:c r="A91" s="313" t="str">
        <x:v>Access posture</x:v>
      </x:c>
      <x:c r="B91" s="311" t="str">
        <x:v>Registration / virtual-organization membership</x:v>
      </x:c>
      <x:c r="C91" s="311"/>
      <x:c r="D91" s="311"/>
      <x:c r="E91" s="311"/>
      <x:c r="F91" s="311"/>
      <x:c r="G91" s="311"/>
      <x:c r="H91" s="311"/>
    </x:row>
    <x:row r="92" ht="28" customHeight="1">
      <x:c r="A92" s="313" t="str">
        <x:v>Small next step</x:v>
      </x:c>
      <x:c r="B92" s="311" t="str">
        <x:v>Complete the portal's account/membership process, then inspect the chosen experiment.</x:v>
      </x:c>
      <x:c r="C92" s="311"/>
      <x:c r="D92" s="311"/>
      <x:c r="E92" s="311"/>
      <x:c r="F92" s="311"/>
      <x:c r="G92" s="311"/>
      <x:c r="H92" s="311"/>
    </x:row>
    <x:row r="93" ht="28" customHeight="1">
      <x:c r="A93" s="313" t="str">
        <x:v>Public locator</x:v>
      </x:c>
      <x:c r="B93" s="311" t="str">
        <x:v>https://portal.eiscat.se/</x:v>
      </x:c>
      <x:c r="C93" s="311"/>
      <x:c r="D93" s="311"/>
      <x:c r="E93" s="311"/>
      <x:c r="F93" s="311"/>
      <x:c r="G93" s="311"/>
      <x:c r="H93" s="311"/>
    </x:row>
    <x:row r="94" ht="36" customHeight="1">
      <x:c r="A94" s="313" t="str">
        <x:v>Evidence / limits</x:v>
      </x:c>
      <x:c r="B94" s="311" t="str">
        <x:v>Portal checked 15 Sep; registration is not a claim of dataset delivery or commercial reuse rights.</x:v>
      </x:c>
      <x:c r="C94" s="311"/>
      <x:c r="D94" s="311"/>
      <x:c r="E94" s="311"/>
      <x:c r="F94" s="311"/>
      <x:c r="G94" s="311"/>
      <x:c r="H94" s="311"/>
    </x:row>
    <x:row r="95">
      <x:c r="A95" s="112"/>
      <x:c r="B95" s="112"/>
      <x:c r="C95" s="112"/>
      <x:c r="D95" s="112"/>
      <x:c r="E95" s="112"/>
      <x:c r="F95" s="112"/>
      <x:c r="G95" s="112"/>
      <x:c r="H95" s="112"/>
    </x:row>
    <x:row r="96" ht="34" customHeight="1">
      <x:c r="A96" s="316" t="str">
        <x:v>MX-02 | Mexico — UNAM — Mexican GNSS/TEC Zenodo record</x:v>
      </x:c>
      <x:c r="B96" s="316"/>
      <x:c r="C96" s="316"/>
      <x:c r="D96" s="316"/>
      <x:c r="E96" s="316"/>
      <x:c r="F96" s="316"/>
      <x:c r="G96" s="316"/>
      <x:c r="H96" s="316"/>
    </x:row>
    <x:row r="97" ht="28" customHeight="1">
      <x:c r="A97" s="313" t="str">
        <x:v>Evidence type</x:v>
      </x:c>
      <x:c r="B97" s="311" t="str">
        <x:v>Environmental / GNSS-derived</x:v>
      </x:c>
      <x:c r="C97" s="311"/>
      <x:c r="D97" s="311"/>
      <x:c r="E97" s="311"/>
      <x:c r="F97" s="311"/>
      <x:c r="G97" s="311"/>
      <x:c r="H97" s="311"/>
    </x:row>
    <x:row r="98" ht="28" customHeight="1">
      <x:c r="A98" s="313" t="str">
        <x:v>Access posture</x:v>
      </x:c>
      <x:c r="B98" s="311" t="str">
        <x:v>Prior public-repository lead; check rate-limited</x:v>
      </x:c>
      <x:c r="C98" s="311"/>
      <x:c r="D98" s="311"/>
      <x:c r="E98" s="311"/>
      <x:c r="F98" s="311"/>
      <x:c r="G98" s="311"/>
      <x:c r="H98" s="311"/>
    </x:row>
    <x:row r="99" ht="28" customHeight="1">
      <x:c r="A99" s="313" t="str">
        <x:v>Small next step</x:v>
      </x:c>
      <x:c r="B99" s="311" t="str">
        <x:v>Retry metadata normally later; select a small time/station sample and record field definitions.</x:v>
      </x:c>
      <x:c r="C99" s="311"/>
      <x:c r="D99" s="311"/>
      <x:c r="E99" s="311"/>
      <x:c r="F99" s="311"/>
      <x:c r="G99" s="311"/>
      <x:c r="H99" s="311"/>
    </x:row>
    <x:row r="100" ht="28" customHeight="1">
      <x:c r="A100" s="313" t="str">
        <x:v>Public locator</x:v>
      </x:c>
      <x:c r="B100" s="311" t="str">
        <x:v>https://zenodo.org/records/8412734</x:v>
      </x:c>
      <x:c r="C100" s="311"/>
      <x:c r="D100" s="311"/>
      <x:c r="E100" s="311"/>
      <x:c r="F100" s="311"/>
      <x:c r="G100" s="311"/>
      <x:c r="H100" s="311"/>
    </x:row>
    <x:row r="101" ht="36" customHeight="1">
      <x:c r="A101" s="313" t="str">
        <x:v>Evidence / limits</x:v>
      </x:c>
      <x:c r="B101" s="311" t="str">
        <x:v>15 Sep metadata request returned HTTP 429. This is a retrieval limit, not proof the data are restricted or unavailable.</x:v>
      </x:c>
      <x:c r="C101" s="311"/>
      <x:c r="D101" s="311"/>
      <x:c r="E101" s="311"/>
      <x:c r="F101" s="311"/>
      <x:c r="G101" s="311"/>
      <x:c r="H101" s="311"/>
    </x:row>
    <x:row r="102">
      <x:c r="A102" s="112"/>
      <x:c r="B102" s="112"/>
      <x:c r="C102" s="112"/>
      <x:c r="D102" s="112"/>
      <x:c r="E102" s="112"/>
      <x:c r="F102" s="112"/>
      <x:c r="G102" s="112"/>
      <x:c r="H102" s="112"/>
    </x:row>
    <x:row r="103">
      <x:c r="A103" s="112" t="str">
        <x:v>CL-01 | Chile — CINC / Universidad Adventista de Chile — ionosonde archive</x:v>
      </x:c>
      <x:c r="B103" s="112"/>
      <x:c r="C103" s="112"/>
      <x:c r="D103" s="112"/>
      <x:c r="E103" s="112"/>
      <x:c r="F103" s="112"/>
      <x:c r="G103" s="112"/>
      <x:c r="H103" s="112"/>
    </x:row>
    <x:row r="104">
      <x:c r="A104" s="112" t="str">
        <x:v>Evidence type</x:v>
      </x:c>
      <x:c r="B104" s="112" t="str">
        <x:v>Environmental / ionospheric; Southern Hemisphere / Antarctic</x:v>
      </x:c>
      <x:c r="C104" s="112"/>
      <x:c r="D104" s="112"/>
      <x:c r="E104" s="112"/>
      <x:c r="F104" s="112"/>
      <x:c r="G104" s="112"/>
      <x:c r="H104" s="112"/>
    </x:row>
    <x:row r="105">
      <x:c r="A105" s="112" t="str">
        <x:v>Access posture</x:v>
      </x:c>
      <x:c r="B105" s="112" t="str">
        <x:v>Custodian willing to collaborate; numerical .DAT packages delivered 21 Sep 2026 and inspected; archive website under development.</x:v>
      </x:c>
      <x:c r="C105" s="112"/>
      <x:c r="D105" s="112"/>
      <x:c r="E105" s="112"/>
      <x:c r="F105" s="112"/>
      <x:c r="G105" s="112"/>
      <x:c r="H105" s="112"/>
    </x:row>
    <x:row r="106">
      <x:c r="A106" s="112" t="str">
        <x:v>Small next step</x:v>
      </x:c>
      <x:c r="B106" s="112" t="str">
        <x:v>Normalize delivered KGI and Chillán samples; preserve station/instrument/cadence provenance; verify formal units, qualifier/quality semantics, missing-value codes, citation/reuse terms, and bulk archive path before adoption.</x:v>
      </x:c>
      <x:c r="C106" s="112"/>
      <x:c r="D106" s="112"/>
      <x:c r="E106" s="112"/>
      <x:c r="F106" s="112"/>
      <x:c r="G106" s="112"/>
      <x:c r="H106" s="112"/>
    </x:row>
    <x:row r="107">
      <x:c r="A107" s="112" t="str">
        <x:v>Public locator</x:v>
      </x:c>
      <x:c r="B107" s="112" t="str">
        <x:v>http://www.meteorologiaespacial.cl/</x:v>
      </x:c>
      <x:c r="C107" s="112"/>
      <x:c r="D107" s="112"/>
      <x:c r="E107" s="112"/>
      <x:c r="F107" s="112"/>
      <x:c r="G107" s="112"/>
      <x:c r="H107" s="112"/>
    </x:row>
    <x:row r="108">
      <x:c r="A108" s="112" t="str">
        <x:v>Evidence / limits</x:v>
      </x:c>
      <x:c r="B108" s="112" t="str">
        <x:v>Bravo delivered actual scaled .DAT time series on 21 Sep 2026. KGI sample: 1,232 daily files (1986-03-01–1991-12-31), 33,960 observations, typically hourly, with strong foF/hF/M(3000)F coverage. Chillán sample: 25 daily files (2020-12-04–2020-12-31), 2,518 observations, typically 15-minute cadence, including foF/hF plus populated hmF2 and TEC. Files include field/qualifier definitions. Environmental observations do not establish communications latency/outage.</x:v>
      </x:c>
      <x:c r="C108" s="112"/>
      <x:c r="D108" s="112"/>
      <x:c r="E108" s="112"/>
      <x:c r="F108" s="112"/>
      <x:c r="G108" s="112"/>
      <x:c r="H108" s="112"/>
    </x:row>
    <x:row r="109">
      <x:c r="A109" s="112" t="str">
        <x:v>POC / date</x:v>
      </x:c>
      <x:c r="B109" s="112" t="str">
        <x:v>manuelbravo@unach.cl • substantive response + numerical sample received/inspected 21 Sep 2026 • Readiness 3</x:v>
      </x:c>
      <x:c r="C109" s="112"/>
      <x:c r="D109" s="112"/>
      <x:c r="E109" s="112"/>
      <x:c r="F109" s="112"/>
      <x:c r="G109" s="112"/>
      <x:c r="H109" s="112"/>
    </x:row>
    <x:row r="110">
      <x:c r="A110" s="112"/>
      <x:c r="B110" s="112"/>
      <x:c r="C110" s="112"/>
      <x:c r="D110" s="112"/>
      <x:c r="E110" s="112"/>
      <x:c r="F110" s="112"/>
      <x:c r="G110" s="112"/>
      <x:c r="H110" s="112"/>
    </x:row>
    <x:row r="111">
      <x:c r="A111" s="112" t="str">
        <x:v>NET-01 | Measurement Lab (M-Lab) — NDT / BigQuery</x:v>
      </x:c>
      <x:c r="B111" s="112"/>
      <x:c r="C111" s="112"/>
      <x:c r="D111" s="112"/>
      <x:c r="E111" s="112"/>
      <x:c r="F111" s="112"/>
      <x:c r="G111" s="112"/>
      <x:c r="H111" s="112"/>
    </x:row>
    <x:row r="112">
      <x:c r="A112" s="112" t="str">
        <x:v>Evidence type</x:v>
      </x:c>
      <x:c r="B112" s="112" t="str">
        <x:v>Direct network performance; ASN-filterable NDT measurements</x:v>
      </x:c>
      <x:c r="C112" s="112"/>
      <x:c r="D112" s="112"/>
      <x:c r="E112" s="112"/>
      <x:c r="F112" s="112"/>
      <x:c r="G112" s="112"/>
      <x:c r="H112" s="112"/>
    </x:row>
    <x:row r="113">
      <x:c r="A113" s="112" t="str">
        <x:v>Access posture</x:v>
      </x:c>
      <x:c r="B113" s="112" t="str">
        <x:v>Public BigQuery/open-data route; substantive M-Lab response received 22 Sep 2026</x:v>
      </x:c>
      <x:c r="C113" s="112"/>
      <x:c r="D113" s="112"/>
      <x:c r="E113" s="112"/>
      <x:c r="F113" s="112"/>
      <x:c r="G113" s="112"/>
      <x:c r="H113" s="112"/>
    </x:row>
    <x:row r="114">
      <x:c r="A114" s="112" t="str">
        <x:v>Small next step</x:v>
      </x:c>
      <x:c r="B114" s="112" t="str">
        <x:v>Query Starlink AS14593 over a bounded interval, inspect numerical fields and citation metadata, then freeze a reproducible extract.</x:v>
      </x:c>
      <x:c r="C114" s="112"/>
      <x:c r="D114" s="112"/>
      <x:c r="E114" s="112"/>
      <x:c r="F114" s="112"/>
      <x:c r="G114" s="112"/>
      <x:c r="H114" s="112"/>
    </x:row>
    <x:row r="115">
      <x:c r="A115" s="112" t="str">
        <x:v>Public locator</x:v>
      </x:c>
      <x:c r="B115" s="112" t="str">
        <x:v>https://www.measurementlab.net/tests/ndt/ | https://www.measurementlab.net/data/docs/bq/quickstart/</x:v>
      </x:c>
      <x:c r="C115" s="112"/>
      <x:c r="D115" s="112"/>
      <x:c r="E115" s="112"/>
      <x:c r="F115" s="112"/>
      <x:c r="G115" s="112"/>
      <x:c r="H115" s="112"/>
    </x:row>
    <x:row r="116">
      <x:c r="A116" s="112" t="str">
        <x:v>Evidence / limits</x:v>
      </x:c>
      <x:c r="B116" s="112" t="str">
        <x:v>Provider confirms NDT as the relevant source and client/server ASN filtering. No separate outage-labeled M-Lab dataset; outage inference is derived only, and missing/no tests are not downtime.</x:v>
      </x:c>
      <x:c r="C116" s="112"/>
      <x:c r="D116" s="112"/>
      <x:c r="E116" s="112"/>
      <x:c r="F116" s="112"/>
      <x:c r="G116" s="112"/>
      <x:c r="H116" s="112"/>
    </x:row>
    <x:row r="117">
      <x:c r="A117" s="112"/>
      <x:c r="B117" s="112"/>
      <x:c r="C117" s="112"/>
      <x:c r="D117" s="112"/>
      <x:c r="E117" s="112"/>
      <x:c r="F117" s="112"/>
      <x:c r="G117" s="112"/>
      <x:c r="H117" s="112"/>
    </x:row>
    <x:row r="118">
      <x:c r="A118" s="112" t="str">
        <x:v>INT-57 | Argentina / Patagonia — Instituto Balseiro / CNEA — Pablo Costanzo Caso</x:v>
      </x:c>
      <x:c r="B118" s="112"/>
      <x:c r="C118" s="112"/>
      <x:c r="D118" s="112"/>
      <x:c r="E118" s="112"/>
      <x:c r="F118" s="112"/>
      <x:c r="G118" s="112"/>
      <x:c r="H118" s="112"/>
    </x:row>
    <x:row r="119">
      <x:c r="A119" s="112" t="str">
        <x:v>Evidence type</x:v>
      </x:c>
      <x:c r="B119" s="112" t="str">
        <x:v>Future direct ground-station communications measurement opportunity; historical VHF/UHF station</x:v>
      </x:c>
      <x:c r="C119" s="112"/>
      <x:c r="D119" s="112"/>
      <x:c r="E119" s="112"/>
      <x:c r="F119" s="112"/>
      <x:c r="G119" s="112"/>
      <x:c r="H119" s="112"/>
    </x:row>
    <x:row r="120">
      <x:c r="A120" s="112" t="str">
        <x:v>Access posture</x:v>
      </x:c>
      <x:c r="B120" s="112" t="str">
        <x:v>RESPONDED 22 Sep 2026 — requested data unavailable; prior station dismantled due lack of funding</x:v>
      </x:c>
      <x:c r="C120" s="112"/>
      <x:c r="D120" s="112"/>
      <x:c r="E120" s="112"/>
      <x:c r="F120" s="112"/>
      <x:c r="G120" s="112"/>
      <x:c r="H120" s="112"/>
    </x:row>
    <x:row r="121">
      <x:c r="A121" s="112" t="str">
        <x:v>Small next step</x:v>
      </x:c>
      <x:c r="B121" s="112" t="str">
        <x:v>No immediate acquisition action. If a funded project is considered, define exact fields, cadence, station/spacecraft context, QC/missing semantics, public-release and citation requirements before collection.</x:v>
      </x:c>
      <x:c r="C121" s="112"/>
      <x:c r="D121" s="112"/>
      <x:c r="E121" s="112"/>
      <x:c r="F121" s="112"/>
      <x:c r="G121" s="112"/>
      <x:c r="H121" s="112"/>
    </x:row>
    <x:row r="122">
      <x:c r="A122" s="112" t="str">
        <x:v>Public locator</x:v>
      </x:c>
      <x:c r="B122" s="112"/>
      <x:c r="C122" s="112"/>
      <x:c r="D122" s="112"/>
      <x:c r="E122" s="112"/>
      <x:c r="F122" s="112"/>
      <x:c r="G122" s="112"/>
      <x:c r="H122" s="112"/>
    </x:row>
    <x:row r="123">
      <x:c r="A123" s="112" t="str">
        <x:v>Evidence / limits</x:v>
      </x:c>
      <x:c r="B123" s="112" t="str">
        <x:v>Ground station was developed and operated for more than 3 years in VHF/UHF, then dismantled because of funding constraints. Costanzo is interested in collaboration and collecting new data from Patagonia if funding is available. This is not a current dataset or archive.</x:v>
      </x:c>
      <x:c r="C123" s="112"/>
      <x:c r="D123" s="112"/>
      <x:c r="E123" s="112"/>
      <x:c r="F123" s="112"/>
      <x:c r="G123" s="112"/>
      <x:c r="H123" s="112"/>
    </x:row>
    <x:row r="124">
      <x:c r="A124" s="112" t="str">
        <x:v>POC / date</x:v>
      </x:c>
      <x:c r="B124" s="112" t="str">
        <x:v>pcostanzo@ib.edu.ar • substantive response 22 Sep 2026 • Readiness 1</x:v>
      </x:c>
      <x:c r="C124" s="112"/>
      <x:c r="D124" s="112"/>
      <x:c r="E124" s="112"/>
      <x:c r="F124" s="112"/>
      <x:c r="G124" s="112"/>
      <x:c r="H124" s="112"/>
    </x:row>
    <x:row r="125">
      <x:c r="A125" s="112"/>
      <x:c r="B125" s="112"/>
      <x:c r="C125" s="112"/>
      <x:c r="D125" s="112"/>
      <x:c r="E125" s="112"/>
      <x:c r="F125" s="112"/>
      <x:c r="G125" s="112"/>
      <x:c r="H125" s="112"/>
    </x:row>
    <x:row r="126">
      <x:c r="A126" s="112"/>
      <x:c r="B126" s="112"/>
      <x:c r="C126" s="112"/>
      <x:c r="D126" s="112"/>
      <x:c r="E126" s="112"/>
      <x:c r="F126" s="112"/>
      <x:c r="G126" s="112"/>
      <x:c r="H126" s="112"/>
    </x:row>
    <x:row r="127">
      <x:c r="A127" s="112"/>
      <x:c r="B127" s="112"/>
      <x:c r="C127" s="112"/>
      <x:c r="D127" s="112"/>
      <x:c r="E127" s="112"/>
      <x:c r="F127" s="112"/>
      <x:c r="G127" s="112"/>
      <x:c r="H127" s="112"/>
    </x:row>
    <x:row r="128">
      <x:c r="A128" s="112"/>
      <x:c r="B128" s="112"/>
      <x:c r="C128" s="112"/>
      <x:c r="D128" s="112"/>
      <x:c r="E128" s="112"/>
      <x:c r="F128" s="112"/>
      <x:c r="G128" s="112"/>
      <x:c r="H128" s="112"/>
    </x:row>
    <x:row r="129">
      <x:c r="A129" s="112"/>
      <x:c r="B129" s="112"/>
      <x:c r="C129" s="112"/>
      <x:c r="D129" s="112"/>
      <x:c r="E129" s="112"/>
      <x:c r="F129" s="112"/>
      <x:c r="G129" s="112"/>
      <x:c r="H129" s="112"/>
    </x:row>
    <x:row r="130">
      <x:c r="A130" s="112" t="str">
        <x:v>INT-AU-ACCC | Australia — ACCC Measuring Broadband Australia</x:v>
      </x:c>
      <x:c r="B130" s="112"/>
      <x:c r="C130" s="112"/>
      <x:c r="D130" s="112"/>
      <x:c r="E130" s="112"/>
      <x:c r="F130" s="112"/>
      <x:c r="G130" s="112"/>
      <x:c r="H130" s="112"/>
    </x:row>
    <x:row r="131">
      <x:c r="A131" s="112" t="str">
        <x:v>Evidence type</x:v>
      </x:c>
      <x:c r="B131" s="112" t="str">
        <x:v>Historical direct broadband / Starlink performance data</x:v>
      </x:c>
      <x:c r="C131" s="112"/>
      <x:c r="D131" s="112"/>
      <x:c r="E131" s="112"/>
      <x:c r="F131" s="112"/>
      <x:c r="G131" s="112"/>
      <x:c r="H131" s="112"/>
    </x:row>
    <x:row r="132">
      <x:c r="A132" s="112" t="str">
        <x:v>Access posture</x:v>
      </x:c>
      <x:c r="B132" s="112" t="str">
        <x:v>RESPONDED 23 Sep 2026 — public data released via data.gov.au; no special research-use conditions beyond attribution</x:v>
      </x:c>
      <x:c r="C132" s="112"/>
      <x:c r="D132" s="112"/>
      <x:c r="E132" s="112"/>
      <x:c r="F132" s="112"/>
      <x:c r="G132" s="112"/>
      <x:c r="H132" s="112"/>
    </x:row>
    <x:row r="133">
      <x:c r="A133" s="112" t="str">
        <x:v>Small next step</x:v>
      </x:c>
      <x:c r="B133" s="112" t="str">
        <x:v>Search data.gov.au for 'Measuring Broadband Australia'; download one Starlink-containing report dataset and inspect timestamp/granularity, units, outage definitions, missingness and geographic metadata.</x:v>
      </x:c>
      <x:c r="C133" s="112"/>
      <x:c r="D133" s="112"/>
      <x:c r="E133" s="112"/>
      <x:c r="F133" s="112"/>
      <x:c r="G133" s="112"/>
      <x:c r="H133" s="112"/>
    </x:row>
    <x:row r="134">
      <x:c r="A134" s="112" t="str">
        <x:v>Public locator</x:v>
      </x:c>
      <x:c r="B134" s="112" t="str">
        <x:v>https://data.gov.au/</x:v>
      </x:c>
      <x:c r="C134" s="112"/>
      <x:c r="D134" s="112"/>
      <x:c r="E134" s="112"/>
      <x:c r="F134" s="112"/>
      <x:c r="G134" s="112"/>
      <x:c r="H134" s="112"/>
    </x:row>
    <x:row r="135">
      <x:c r="A135" s="112" t="str">
        <x:v>Evidence / limits</x:v>
      </x:c>
      <x:c r="B135" s="112" t="str">
        <x:v>Program concluded June 2026, so this is a finite/static source. Public availability is confirmed, but the responder did not guarantee raw/minimally aggregated records or a separate outage-labeled dataset. Do not infer outage from missing observations.</x:v>
      </x:c>
      <x:c r="C135" s="112"/>
      <x:c r="D135" s="112"/>
      <x:c r="E135" s="112"/>
      <x:c r="F135" s="112"/>
      <x:c r="G135" s="112"/>
      <x:c r="H135" s="112"/>
    </x:row>
    <x:row r="136">
      <x:c r="A136" s="112" t="str">
        <x:v>Citation / use</x:v>
      </x:c>
      <x:c r="B136" s="112" t="str">
        <x:v>Appropriately attribute Measuring Broadband Australia (ACCC) performance data where used; provider states no additional conditions are required for public research use.</x:v>
      </x:c>
      <x:c r="C136" s="112"/>
      <x:c r="D136" s="112"/>
      <x:c r="E136" s="112"/>
      <x:c r="F136" s="112"/>
      <x:c r="G136" s="112"/>
      <x:c r="H136" s="112"/>
    </x:row>
    <x:row r="137">
      <x:c r="A137" s="112" t="str">
        <x:v>POC / date</x:v>
      </x:c>
      <x:c r="B137" s="112" t="str">
        <x:v>Broadband Performance Team • BroadbandPerformance@accc.gov.au • substantive response 23 Sep 2026 • Readiness 2</x:v>
      </x:c>
      <x:c r="C137" s="112"/>
      <x:c r="D137" s="112"/>
      <x:c r="E137" s="112"/>
      <x:c r="F137" s="112"/>
      <x:c r="G137" s="112"/>
      <x:c r="H137" s="112"/>
    </x:row>
    <x:row r="138">
      <x:c r="A138" s="112"/>
      <x:c r="B138" s="112"/>
      <x:c r="C138" s="112"/>
      <x:c r="D138" s="112"/>
      <x:c r="E138" s="112"/>
      <x:c r="F138" s="112"/>
      <x:c r="G138" s="112"/>
      <x:c r="H138" s="112"/>
    </x:row>
    <x:row r="139">
      <x:c r="A139" s="112"/>
      <x:c r="B139" s="112"/>
      <x:c r="C139" s="112"/>
      <x:c r="D139" s="112"/>
      <x:c r="E139" s="112"/>
      <x:c r="F139" s="112"/>
      <x:c r="G139" s="112"/>
      <x:c r="H139" s="112"/>
    </x:row>
    <x:row r="140">
      <x:c r="A140" s="112"/>
      <x:c r="B140" s="112"/>
      <x:c r="C140" s="112"/>
      <x:c r="D140" s="112"/>
      <x:c r="E140" s="112"/>
      <x:c r="F140" s="112"/>
      <x:c r="G140" s="112"/>
      <x:c r="H140" s="112"/>
    </x:row>
    <x:row r="141">
      <x:c r="A141" s="112"/>
      <x:c r="B141" s="112"/>
      <x:c r="C141" s="112"/>
      <x:c r="D141" s="112"/>
      <x:c r="E141" s="112"/>
      <x:c r="F141" s="112"/>
      <x:c r="G141" s="112"/>
      <x:c r="H141" s="112"/>
    </x:row>
    <x:row r="142">
      <x:c r="A142" s="112"/>
      <x:c r="B142" s="112"/>
      <x:c r="C142" s="112"/>
      <x:c r="D142" s="112"/>
      <x:c r="E142" s="112"/>
      <x:c r="F142" s="112"/>
      <x:c r="G142" s="112"/>
      <x:c r="H142" s="112"/>
    </x:row>
    <x:row r="143">
      <x:c r="A143" s="112"/>
      <x:c r="B143" s="112"/>
      <x:c r="C143" s="112"/>
      <x:c r="D143" s="112"/>
      <x:c r="E143" s="112"/>
      <x:c r="F143" s="112"/>
      <x:c r="G143" s="112"/>
      <x:c r="H143" s="112"/>
    </x:row>
    <x:row r="144">
      <x:c r="A144" s="112"/>
      <x:c r="B144" s="112"/>
      <x:c r="C144" s="112"/>
      <x:c r="D144" s="112"/>
      <x:c r="E144" s="112"/>
      <x:c r="F144" s="112"/>
      <x:c r="G144" s="112"/>
      <x:c r="H144" s="112"/>
    </x:row>
    <x:row r="145">
      <x:c r="A145" s="112"/>
      <x:c r="B145" s="112"/>
      <x:c r="C145" s="112"/>
      <x:c r="D145" s="112"/>
      <x:c r="E145" s="112"/>
      <x:c r="F145" s="112"/>
      <x:c r="G145" s="112"/>
      <x:c r="H145" s="112"/>
    </x:row>
    <x:row r="146">
      <x:c r="A146" s="112"/>
      <x:c r="B146" s="112"/>
      <x:c r="C146" s="112"/>
      <x:c r="D146" s="112"/>
      <x:c r="E146" s="112"/>
      <x:c r="F146" s="112"/>
      <x:c r="G146" s="112"/>
      <x:c r="H146" s="112"/>
    </x:row>
    <x:row r="147">
      <x:c r="A147" s="112"/>
      <x:c r="B147" s="112"/>
      <x:c r="C147" s="112"/>
      <x:c r="D147" s="112"/>
      <x:c r="E147" s="112"/>
      <x:c r="F147" s="112"/>
      <x:c r="G147" s="112"/>
      <x:c r="H147" s="112"/>
    </x:row>
    <x:row r="148">
      <x:c r="A148" s="112"/>
      <x:c r="B148" s="112"/>
      <x:c r="C148" s="112"/>
      <x:c r="D148" s="112"/>
      <x:c r="E148" s="112"/>
      <x:c r="F148" s="112"/>
      <x:c r="G148" s="112"/>
      <x:c r="H148" s="112"/>
    </x:row>
    <x:row r="149">
      <x:c r="A149" s="112"/>
      <x:c r="B149" s="112"/>
      <x:c r="C149" s="112"/>
      <x:c r="D149" s="112"/>
      <x:c r="E149" s="112"/>
      <x:c r="F149" s="112"/>
      <x:c r="G149" s="112"/>
      <x:c r="H149" s="112"/>
    </x:row>
    <x:row r="150">
      <x:c r="A150" s="112"/>
      <x:c r="B150" s="112"/>
      <x:c r="C150" s="112"/>
      <x:c r="D150" s="112"/>
      <x:c r="E150" s="112"/>
      <x:c r="F150" s="112"/>
      <x:c r="G150" s="112"/>
      <x:c r="H150" s="112"/>
    </x:row>
    <x:row r="151">
      <x:c r="A151" s="112"/>
      <x:c r="B151" s="112"/>
      <x:c r="C151" s="112"/>
      <x:c r="D151" s="112"/>
      <x:c r="E151" s="112"/>
      <x:c r="F151" s="112"/>
      <x:c r="G151" s="112"/>
      <x:c r="H151" s="112"/>
    </x:row>
    <x:row r="152">
      <x:c r="A152" s="112"/>
      <x:c r="B152" s="112"/>
      <x:c r="C152" s="112"/>
      <x:c r="D152" s="112"/>
      <x:c r="E152" s="112"/>
      <x:c r="F152" s="112"/>
      <x:c r="G152" s="112"/>
      <x:c r="H152" s="112"/>
    </x:row>
    <x:row r="153">
      <x:c r="A153" s="112"/>
      <x:c r="B153" s="112"/>
      <x:c r="C153" s="112"/>
      <x:c r="D153" s="112"/>
      <x:c r="E153" s="112"/>
      <x:c r="F153" s="112"/>
      <x:c r="G153" s="112"/>
      <x:c r="H153" s="112"/>
    </x:row>
    <x:row r="154">
      <x:c r="A154" s="112"/>
      <x:c r="B154" s="112"/>
      <x:c r="C154" s="112"/>
      <x:c r="D154" s="112"/>
      <x:c r="E154" s="112"/>
      <x:c r="F154" s="112"/>
      <x:c r="G154" s="112"/>
      <x:c r="H154" s="112"/>
    </x:row>
    <x:row r="155">
      <x:c r="A155" s="112"/>
      <x:c r="B155" s="112"/>
      <x:c r="C155" s="112"/>
      <x:c r="D155" s="112"/>
      <x:c r="E155" s="112"/>
      <x:c r="F155" s="112"/>
      <x:c r="G155" s="112"/>
      <x:c r="H155" s="112"/>
    </x:row>
    <x:row r="156">
      <x:c r="A156" s="112"/>
      <x:c r="B156" s="112"/>
      <x:c r="C156" s="112"/>
      <x:c r="D156" s="112"/>
      <x:c r="E156" s="112"/>
      <x:c r="F156" s="112"/>
      <x:c r="G156" s="112"/>
      <x:c r="H156" s="112"/>
    </x:row>
    <x:row r="157">
      <x:c r="A157" s="112"/>
      <x:c r="B157" s="112"/>
      <x:c r="C157" s="112"/>
      <x:c r="D157" s="112"/>
      <x:c r="E157" s="112"/>
      <x:c r="F157" s="112"/>
      <x:c r="G157" s="112"/>
      <x:c r="H157" s="112"/>
    </x:row>
    <x:row r="158">
      <x:c r="A158" s="112"/>
      <x:c r="B158" s="112"/>
      <x:c r="C158" s="112"/>
      <x:c r="D158" s="112"/>
      <x:c r="E158" s="112"/>
      <x:c r="F158" s="112"/>
      <x:c r="G158" s="112"/>
      <x:c r="H158" s="112"/>
    </x:row>
    <x:row r="159">
      <x:c r="A159" s="112"/>
      <x:c r="B159" s="112"/>
      <x:c r="C159" s="112"/>
      <x:c r="D159" s="112"/>
      <x:c r="E159" s="112"/>
      <x:c r="F159" s="112"/>
      <x:c r="G159" s="112"/>
      <x:c r="H159" s="112"/>
    </x:row>
    <x:row r="160">
      <x:c r="A160" s="112"/>
      <x:c r="B160" s="112"/>
      <x:c r="C160" s="112"/>
      <x:c r="D160" s="112"/>
      <x:c r="E160" s="112"/>
      <x:c r="F160" s="112"/>
      <x:c r="G160" s="112"/>
      <x:c r="H160" s="112"/>
    </x:row>
    <x:row r="161">
      <x:c r="A161" s="112"/>
      <x:c r="B161" s="112"/>
      <x:c r="C161" s="112"/>
      <x:c r="D161" s="112"/>
      <x:c r="E161" s="112"/>
      <x:c r="F161" s="112"/>
      <x:c r="G161" s="112"/>
      <x:c r="H161" s="112"/>
    </x:row>
    <x:row r="162">
      <x:c r="A162" s="112"/>
      <x:c r="B162" s="112"/>
      <x:c r="C162" s="112"/>
      <x:c r="D162" s="112"/>
      <x:c r="E162" s="112"/>
      <x:c r="F162" s="112"/>
      <x:c r="G162" s="112"/>
      <x:c r="H162" s="112"/>
    </x:row>
    <x:row r="163">
      <x:c r="A163" s="112"/>
      <x:c r="B163" s="112"/>
      <x:c r="C163" s="112"/>
      <x:c r="D163" s="112"/>
      <x:c r="E163" s="112"/>
      <x:c r="F163" s="112"/>
      <x:c r="G163" s="112"/>
      <x:c r="H163" s="112"/>
    </x:row>
    <x:row r="164">
      <x:c r="A164" s="112"/>
      <x:c r="B164" s="112"/>
      <x:c r="C164" s="112"/>
      <x:c r="D164" s="112"/>
      <x:c r="E164" s="112"/>
      <x:c r="F164" s="112"/>
      <x:c r="G164" s="112"/>
      <x:c r="H164" s="112"/>
    </x:row>
    <x:row r="165">
      <x:c r="A165" s="112"/>
      <x:c r="B165" s="112"/>
      <x:c r="C165" s="112"/>
      <x:c r="D165" s="112"/>
      <x:c r="E165" s="112"/>
      <x:c r="F165" s="112"/>
      <x:c r="G165" s="112"/>
      <x:c r="H165" s="112"/>
    </x:row>
    <x:row r="166">
      <x:c r="A166" s="112"/>
      <x:c r="B166" s="112"/>
      <x:c r="C166" s="112"/>
      <x:c r="D166" s="112"/>
      <x:c r="E166" s="112"/>
      <x:c r="F166" s="112"/>
      <x:c r="G166" s="112"/>
      <x:c r="H166" s="112"/>
    </x:row>
    <x:row r="167">
      <x:c r="A167" s="112"/>
      <x:c r="B167" s="112"/>
      <x:c r="C167" s="112"/>
      <x:c r="D167" s="112"/>
      <x:c r="E167" s="112"/>
      <x:c r="F167" s="112"/>
      <x:c r="G167" s="112"/>
      <x:c r="H167" s="112"/>
    </x:row>
    <x:row r="168">
      <x:c r="A168" s="112"/>
      <x:c r="B168" s="112"/>
      <x:c r="C168" s="112"/>
      <x:c r="D168" s="112"/>
      <x:c r="E168" s="112"/>
      <x:c r="F168" s="112"/>
      <x:c r="G168" s="112"/>
      <x:c r="H168" s="112"/>
    </x:row>
    <x:row r="169">
      <x:c r="A169" s="112"/>
      <x:c r="B169" s="112"/>
      <x:c r="C169" s="112"/>
      <x:c r="D169" s="112"/>
      <x:c r="E169" s="112"/>
      <x:c r="F169" s="112"/>
      <x:c r="G169" s="112"/>
      <x:c r="H169" s="112"/>
    </x:row>
    <x:row r="170">
      <x:c r="A170" s="112"/>
      <x:c r="B170" s="112"/>
      <x:c r="C170" s="112"/>
      <x:c r="D170" s="112"/>
      <x:c r="E170" s="112"/>
      <x:c r="F170" s="112"/>
      <x:c r="G170" s="112"/>
      <x:c r="H170" s="112"/>
    </x:row>
    <x:row r="171">
      <x:c r="A171" s="112"/>
      <x:c r="B171" s="112"/>
      <x:c r="C171" s="112"/>
      <x:c r="D171" s="112"/>
      <x:c r="E171" s="112"/>
      <x:c r="F171" s="112"/>
      <x:c r="G171" s="112"/>
      <x:c r="H171" s="112"/>
    </x:row>
    <x:row r="172">
      <x:c r="A172" s="112"/>
      <x:c r="B172" s="112"/>
      <x:c r="C172" s="112"/>
      <x:c r="D172" s="112"/>
      <x:c r="E172" s="112"/>
      <x:c r="F172" s="112"/>
      <x:c r="G172" s="112"/>
      <x:c r="H172" s="112"/>
    </x:row>
    <x:row r="173">
      <x:c r="A173" s="112"/>
      <x:c r="B173" s="112"/>
      <x:c r="C173" s="112"/>
      <x:c r="D173" s="112"/>
      <x:c r="E173" s="112"/>
      <x:c r="F173" s="112"/>
      <x:c r="G173" s="112"/>
      <x:c r="H173" s="112"/>
    </x:row>
    <x:row r="174">
      <x:c r="A174" s="112"/>
      <x:c r="B174" s="112"/>
      <x:c r="C174" s="112"/>
      <x:c r="D174" s="112"/>
      <x:c r="E174" s="112"/>
      <x:c r="F174" s="112"/>
      <x:c r="G174" s="112"/>
      <x:c r="H174" s="112"/>
    </x:row>
    <x:row r="175">
      <x:c r="A175" s="112"/>
      <x:c r="B175" s="112"/>
      <x:c r="C175" s="112"/>
      <x:c r="D175" s="112"/>
      <x:c r="E175" s="112"/>
      <x:c r="F175" s="112"/>
      <x:c r="G175" s="112"/>
      <x:c r="H175" s="112"/>
    </x:row>
    <x:row r="176">
      <x:c r="A176" s="112"/>
      <x:c r="B176" s="112"/>
      <x:c r="C176" s="112"/>
      <x:c r="D176" s="112"/>
      <x:c r="E176" s="112"/>
      <x:c r="F176" s="112"/>
      <x:c r="G176" s="112"/>
      <x:c r="H176" s="112"/>
    </x:row>
    <x:row r="177">
      <x:c r="A177" s="112"/>
      <x:c r="B177" s="112"/>
      <x:c r="C177" s="112"/>
      <x:c r="D177" s="112"/>
      <x:c r="E177" s="112"/>
      <x:c r="F177" s="112"/>
      <x:c r="G177" s="112"/>
      <x:c r="H177" s="112"/>
    </x:row>
    <x:row r="178">
      <x:c r="A178" s="112"/>
      <x:c r="B178" s="112"/>
      <x:c r="C178" s="112"/>
      <x:c r="D178" s="112"/>
      <x:c r="E178" s="112"/>
      <x:c r="F178" s="112"/>
      <x:c r="G178" s="112"/>
      <x:c r="H178" s="112"/>
    </x:row>
    <x:row r="179">
      <x:c r="A179" s="112"/>
      <x:c r="B179" s="112"/>
      <x:c r="C179" s="112"/>
      <x:c r="D179" s="112"/>
      <x:c r="E179" s="112"/>
      <x:c r="F179" s="112"/>
      <x:c r="G179" s="112"/>
      <x:c r="H179" s="112"/>
    </x:row>
    <x:row r="180">
      <x:c r="A180" s="112"/>
      <x:c r="B180" s="112"/>
      <x:c r="C180" s="112"/>
      <x:c r="D180" s="112"/>
      <x:c r="E180" s="112"/>
      <x:c r="F180" s="112"/>
      <x:c r="G180" s="112"/>
      <x:c r="H180" s="112"/>
    </x:row>
  </x:sheetData>
  <x:mergeCells>
    <x:mergeCell ref="A1:H1"/>
    <x:mergeCell ref="A2:H3"/>
    <x:mergeCell ref="A5:H5"/>
    <x:mergeCell ref="B6:H6"/>
    <x:mergeCell ref="B7:H7"/>
    <x:mergeCell ref="B8:H8"/>
    <x:mergeCell ref="B9:H9"/>
    <x:mergeCell ref="B10:H10"/>
    <x:mergeCell ref="A12:H12"/>
    <x:mergeCell ref="B13:H13"/>
    <x:mergeCell ref="B14:H14"/>
    <x:mergeCell ref="B15:H15"/>
    <x:mergeCell ref="B16:H16"/>
    <x:mergeCell ref="B17:H17"/>
    <x:mergeCell ref="A19:H19"/>
    <x:mergeCell ref="B20:H20"/>
    <x:mergeCell ref="B21:H21"/>
    <x:mergeCell ref="B22:H22"/>
    <x:mergeCell ref="B23:H23"/>
    <x:mergeCell ref="B24:H24"/>
    <x:mergeCell ref="A26:H26"/>
    <x:mergeCell ref="B27:H27"/>
    <x:mergeCell ref="B28:H28"/>
    <x:mergeCell ref="B29:H29"/>
    <x:mergeCell ref="B30:H30"/>
    <x:mergeCell ref="B31:H31"/>
    <x:mergeCell ref="A33:H33"/>
    <x:mergeCell ref="B34:H34"/>
    <x:mergeCell ref="B35:H35"/>
    <x:mergeCell ref="B36:H36"/>
    <x:mergeCell ref="B37:H37"/>
    <x:mergeCell ref="B38:H38"/>
    <x:mergeCell ref="A40:H40"/>
    <x:mergeCell ref="B41:H41"/>
    <x:mergeCell ref="B42:H42"/>
    <x:mergeCell ref="B43:H43"/>
    <x:mergeCell ref="B44:H44"/>
    <x:mergeCell ref="B45:H45"/>
    <x:mergeCell ref="A47:H47"/>
    <x:mergeCell ref="B48:H48"/>
    <x:mergeCell ref="B49:H49"/>
    <x:mergeCell ref="B50:H50"/>
    <x:mergeCell ref="B51:H51"/>
    <x:mergeCell ref="B52:H52"/>
    <x:mergeCell ref="A54:H54"/>
    <x:mergeCell ref="B55:H55"/>
    <x:mergeCell ref="B56:H56"/>
    <x:mergeCell ref="B57:H57"/>
    <x:mergeCell ref="B58:H58"/>
    <x:mergeCell ref="B59:H59"/>
    <x:mergeCell ref="A61:H61"/>
    <x:mergeCell ref="B62:H62"/>
    <x:mergeCell ref="B63:H63"/>
    <x:mergeCell ref="B64:H64"/>
    <x:mergeCell ref="B65:H65"/>
    <x:mergeCell ref="B66:H66"/>
    <x:mergeCell ref="A68:H68"/>
    <x:mergeCell ref="B69:H69"/>
    <x:mergeCell ref="B70:H70"/>
    <x:mergeCell ref="B71:H71"/>
    <x:mergeCell ref="B72:H72"/>
    <x:mergeCell ref="B73:H73"/>
    <x:mergeCell ref="A75:H75"/>
    <x:mergeCell ref="B76:H76"/>
    <x:mergeCell ref="B77:H77"/>
    <x:mergeCell ref="B78:H78"/>
    <x:mergeCell ref="B79:H79"/>
    <x:mergeCell ref="B80:H80"/>
    <x:mergeCell ref="A82:H82"/>
    <x:mergeCell ref="B83:H83"/>
    <x:mergeCell ref="B84:H84"/>
    <x:mergeCell ref="B85:H85"/>
    <x:mergeCell ref="B86:H86"/>
    <x:mergeCell ref="B87:H87"/>
    <x:mergeCell ref="A89:H89"/>
    <x:mergeCell ref="B90:H90"/>
    <x:mergeCell ref="B91:H91"/>
    <x:mergeCell ref="B92:H92"/>
    <x:mergeCell ref="B93:H93"/>
    <x:mergeCell ref="B94:H94"/>
    <x:mergeCell ref="A96:H96"/>
    <x:mergeCell ref="B97:H97"/>
    <x:mergeCell ref="B98:H98"/>
    <x:mergeCell ref="B99:H99"/>
    <x:mergeCell ref="B100:H100"/>
    <x:mergeCell ref="B101:H101"/>
  </x:mergeCells>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53" hidden="0" customWidth="1"/>
    <x:col min="3" max="3" width="45" hidden="0" customWidth="1"/>
    <x:col min="4" max="4" width="49" hidden="0" customWidth="1"/>
    <x:col min="5" max="5" width="37" hidden="0" customWidth="1"/>
    <x:col min="6" max="6" width="28" hidden="0" customWidth="1"/>
    <x:col min="7" max="7" width="48" hidden="0" customWidth="1"/>
    <x:col min="8" max="8" width="47" hidden="0" customWidth="1"/>
  </x:cols>
  <x:sheetData>
    <x:row r="1" ht="30" customHeight="1">
      <x:c r="A1" s="304" t="str">
        <x:v>International &amp; Domestic Source Directory</x:v>
      </x:c>
      <x:c r="B1" s="304"/>
      <x:c r="C1" s="304"/>
      <x:c r="D1" s="304"/>
      <x:c r="E1" s="304"/>
      <x:c r="F1" s="304"/>
      <x:c r="G1" s="304"/>
      <x:c r="H1" s="304"/>
    </x:row>
    <x:row r="2" ht="28" customHeight="1">
      <x:c r="A2" s="307" t="str">
        <x:v>58 original/current source routes retained. Color indicates current USE ROLE (not response or data readiness); see Data Triage and Usability Guide. CINC updated 21 Sep; M-Lab and Patagonia 22 Sep; ACCC/MBA public-data route confirmed 23 Sep.</x:v>
      </x:c>
      <x:c r="B2" s="307"/>
      <x:c r="C2" s="307"/>
      <x:c r="D2" s="307"/>
      <x:c r="E2" s="307"/>
      <x:c r="F2" s="307"/>
      <x:c r="G2" s="307"/>
      <x:c r="H2" s="307"/>
    </x:row>
    <x:row r="3">
      <x:c r="A3" s="307"/>
      <x:c r="B3" s="307"/>
      <x:c r="C3" s="307"/>
      <x:c r="D3" s="307"/>
      <x:c r="E3" s="307"/>
      <x:c r="F3" s="307"/>
      <x:c r="G3" s="307"/>
      <x:c r="H3" s="307"/>
    </x:row>
    <x:row r="4">
      <x:c r="A4" s="112"/>
      <x:c r="B4" s="112"/>
      <x:c r="C4" s="112"/>
      <x:c r="D4" s="112"/>
      <x:c r="E4" s="112"/>
      <x:c r="F4" s="112"/>
      <x:c r="G4" s="112"/>
      <x:c r="H4" s="112"/>
    </x:row>
    <x:row r="5" ht="36" customHeight="1">
      <x:c r="A5" s="318" t="str">
        <x:v>ID</x:v>
      </x:c>
      <x:c r="B5" s="318" t="str">
        <x:v>Country / source</x:v>
      </x:c>
      <x:c r="C5" s="318" t="str">
        <x:v>Evidence / study role</x:v>
      </x:c>
      <x:c r="D5" s="318" t="str">
        <x:v>Access posture</x:v>
      </x:c>
      <x:c r="E5" s="318" t="str">
        <x:v>Outreach state</x:v>
      </x:c>
      <x:c r="F5" s="318" t="str">
        <x:v>Details</x:v>
      </x:c>
      <x:c r="G5" s="318" t="str">
        <x:v>Source URL</x:v>
      </x:c>
      <x:c r="H5" s="318" t="str">
        <x:v>Evidence note</x:v>
      </x:c>
    </x:row>
    <x:row r="6" ht="94" customHeight="1">
      <x:c r="A6" s="315" t="str">
        <x:v>INT-01</x:v>
      </x:c>
      <x:c r="B6" s="339" t="str">
        <x:v>Japan — NICT — World Data Center for Ionosphere &amp; Space Weather</x:v>
      </x:c>
      <x:c r="C6" s="315" t="str">
        <x:v>Ground-based ionospheric observations; potential ionosonde/TEC source guidance. Network metrics remain unconfirmed.</x:v>
      </x:c>
      <x:c r="D6" s="315" t="str">
        <x:v>Public archive; specific ionosonde/TEC files to select</x:v>
      </x:c>
      <x:c r="E6" s="315" t="str">
        <x:v>Responded — clarification requested; product selection pending</x:v>
      </x:c>
      <x:c r="F6" s="319" t="str">
        <x:v>POC Register • row 2</x:v>
      </x:c>
      <x:c r="G6" s="315" t="str">
        <x:v>https://wdc.nict.go.jp/wdc-top/contact.html</x:v>
      </x:c>
      <x:c r="H6" s="315" t="str">
        <x:v>Prior evidence retained; access map updated 15 Sep</x:v>
      </x:c>
    </x:row>
    <x:row r="7" ht="94" customHeight="1">
      <x:c r="A7" s="311" t="str">
        <x:v>INT-02</x:v>
      </x:c>
      <x:c r="B7" s="340" t="str">
        <x:v>Canada — University of Victoria — Starlink@PanLab / LENS</x:v>
      </x:c>
      <x:c r="C7" s="311" t="str">
        <x:v>LEO latency / one-way delay / network performance</x:v>
      </x:c>
      <x:c r="D7" s="311" t="str">
        <x:v>Public LENS repository found; researcher file guidance still pending</x:v>
      </x:c>
      <x:c r="E7" s="311" t="str">
        <x:v>Replied — clarification requested; follow-up sent</x:v>
      </x:c>
      <x:c r="F7" s="320" t="str">
        <x:v>POC Register • row 3</x:v>
      </x:c>
      <x:c r="G7" s="311" t="str">
        <x:v>https://onlineacademiccommunity.uvic.ca/starlink/</x:v>
      </x:c>
      <x:c r="H7" s="311" t="str">
        <x:v>Prior evidence retained; access map updated 15 Sep</x:v>
      </x:c>
    </x:row>
    <x:row r="8" ht="94" customHeight="1">
      <x:c r="A8" s="315" t="str">
        <x:v>INT-03</x:v>
      </x:c>
      <x:c r="B8" s="340" t="str">
        <x:v>Germany / Netherlands — WetLinks — Osnabrück University / University of Twente</x:v>
      </x:c>
      <x:c r="C8" s="315" t="str">
        <x:v>Starlink RTT / packet loss / throughput / traceroute / weather</x:v>
      </x:c>
      <x:c r="D8" s="315" t="str">
        <x:v>Public repository/dataset links received; sample uninspected</x:v>
      </x:c>
      <x:c r="E8" s="315" t="str">
        <x:v>Satisfied — WetLinks package received; no separate Twente follow-up needed</x:v>
      </x:c>
      <x:c r="F8" s="319" t="str">
        <x:v>POC Register • row 4</x:v>
      </x:c>
      <x:c r="G8" s="315" t="str">
        <x:v>https://arxiv.org/abs/2402.16448</x:v>
      </x:c>
      <x:c r="H8" s="315" t="str">
        <x:v>Prior evidence retained; access map updated 15 Sep</x:v>
      </x:c>
    </x:row>
    <x:row r="9" ht="94" customHeight="1">
      <x:c r="A9" s="311" t="str">
        <x:v>INT-04</x:v>
      </x:c>
      <x:c r="B9" s="340" t="str">
        <x:v>Netherlands — RIPE NCC — RIPE Atlas</x:v>
      </x:c>
      <x:c r="C9" s="311" t="str">
        <x:v>Independent active Internet measurements / ping / traceroute</x:v>
      </x:c>
      <x:c r="D9" s="311" t="str">
        <x:v>Public measurements; query account/setup depends on route</x:v>
      </x:c>
      <x:c r="E9" s="311" t="str">
        <x:v>Not Contacted</x:v>
      </x:c>
      <x:c r="F9" s="320" t="str">
        <x:v>POC Register • row 5</x:v>
      </x:c>
      <x:c r="G9" s="311" t="str">
        <x:v>https://atlas.ripe.net/</x:v>
      </x:c>
      <x:c r="H9" s="311" t="str">
        <x:v>Prior evidence retained; access map updated 15 Sep</x:v>
      </x:c>
    </x:row>
    <x:row r="10" ht="94" customHeight="1">
      <x:c r="A10" s="315" t="str">
        <x:v>INT-05</x:v>
      </x:c>
      <x:c r="B10" s="339" t="str">
        <x:v>New Zealand — University of Otago — Solar Tsunamis / MANA Network</x:v>
      </x:c>
      <x:c r="C10" s="315" t="str">
        <x:v>Geomagnetic observations / Southern Hemisphere environmental stress</x:v>
      </x:c>
      <x:c r="D10" s="315" t="str">
        <x:v>Scientific data access; product terms to confirm</x:v>
      </x:c>
      <x:c r="E10" s="315" t="str">
        <x:v>Not Contacted</x:v>
      </x:c>
      <x:c r="F10" s="319" t="str">
        <x:v>POC Register • row 6</x:v>
      </x:c>
      <x:c r="G10" s="315" t="str">
        <x:v>https://solartsunamis.otago.ac.nz/mana/mana-data/</x:v>
      </x:c>
      <x:c r="H10" s="315" t="str">
        <x:v>Prior evidence retained; access map updated 15 Sep</x:v>
      </x:c>
    </x:row>
    <x:row r="11" ht="94" customHeight="1">
      <x:c r="A11" s="311" t="str">
        <x:v>INT-06</x:v>
      </x:c>
      <x:c r="B11" s="341" t="str">
        <x:v>New Zealand — Earth Sciences New Zealand — Geomagnetism Project</x:v>
      </x:c>
      <x:c r="C11" s="311" t="str">
        <x:v>Geomagnetic observatory / INTERMAGNET / Scott Base context</x:v>
      </x:c>
      <x:c r="D11" s="311" t="str">
        <x:v>Public-product/referral lead; exact archive access to confirm</x:v>
      </x:c>
      <x:c r="E11" s="311" t="str">
        <x:v>Not Contacted</x:v>
      </x:c>
      <x:c r="F11" s="320" t="str">
        <x:v>POC Register • row 7</x:v>
      </x:c>
      <x:c r="G11" s="311" t="str">
        <x:v>https://www.gns.cri.nz/about-us/staff-search/tanja-petersen/</x:v>
      </x:c>
      <x:c r="H11" s="311" t="str">
        <x:v>Prior evidence retained; access map updated 15 Sep</x:v>
      </x:c>
    </x:row>
    <x:row r="12" ht="94" customHeight="1">
      <x:c r="A12" s="315" t="str">
        <x:v>INT-07</x:v>
      </x:c>
      <x:c r="B12" s="339" t="str">
        <x:v>Australia — Australian Space Weather Forecasting Centre — Bureau of Meteorology</x:v>
      </x:c>
      <x:c r="C12" s="315" t="str">
        <x:v>Australian regional space-weather / HF-fadeout / ionospheric inputs; external solar-flare and planetary Kp referrals</x:v>
      </x:c>
      <x:c r="D12" s="315" t="str">
        <x:v>Archive/API pointers received; select numerical product</x:v>
      </x:c>
      <x:c r="E12" s="315" t="str">
        <x:v>Responded — archive/API links and citation guidance received</x:v>
      </x:c>
      <x:c r="F12" s="319" t="str">
        <x:v>POC Register • row 8</x:v>
      </x:c>
      <x:c r="G12" s="315" t="str">
        <x:v>https://www.sws.bom.gov.au/Contact_Us</x:v>
      </x:c>
      <x:c r="H12" s="315" t="str">
        <x:v>Prior evidence retained; access map updated 15 Sep</x:v>
      </x:c>
    </x:row>
    <x:row r="13" ht="94" customHeight="1">
      <x:c r="A13" s="311" t="str">
        <x:v>INT-08</x:v>
      </x:c>
      <x:c r="B13" s="341" t="str">
        <x:v>United Kingdom — UK Met Office — Space Weather Operations Centre (MOSWOC)</x:v>
      </x:c>
      <x:c r="C13" s="311" t="str">
        <x:v>Operational solar-flare / radio-blackout / CME / geomagnetic interpretation</x:v>
      </x:c>
      <x:c r="D13" s="311" t="str">
        <x:v>Public product/reference lead; exact archive access to confirm</x:v>
      </x:c>
      <x:c r="E13" s="311" t="str">
        <x:v>Not Contacted</x:v>
      </x:c>
      <x:c r="F13" s="320" t="str">
        <x:v>POC Register • row 9</x:v>
      </x:c>
      <x:c r="G13" s="311" t="str">
        <x:v>https://weather.metoffice.gov.uk/learn-about/space-weather/met-office-role</x:v>
      </x:c>
      <x:c r="H13" s="311" t="str">
        <x:v>Prior evidence retained; access map updated 15 Sep</x:v>
      </x:c>
    </x:row>
    <x:row r="14" ht="94" customHeight="1">
      <x:c r="A14" s="315" t="str">
        <x:v>INT-09</x:v>
      </x:c>
      <x:c r="B14" s="339" t="str">
        <x:v>South Africa — SANSA — Space Weather Centre</x:v>
      </x:c>
      <x:c r="C14" s="315" t="str">
        <x:v>Geomagnetic environmental inputs. No publicly available direct satellite-link latency, packet-loss or service-availability datasets, confirmed by SANSA.</x:v>
      </x:c>
      <x:c r="D14" s="315" t="str">
        <x:v>Public geomagnetic route; research use free per provider</x:v>
      </x:c>
      <x:c r="E14" s="315" t="str">
        <x:v>Responded — public geomagnetic-data route and research-use terms supplied</x:v>
      </x:c>
      <x:c r="F14" s="319" t="str">
        <x:v>POC Register • row 10</x:v>
      </x:c>
      <x:c r="G14" s="315" t="str">
        <x:v>https://www.sansa.org.za/products-and-services/space-science/</x:v>
      </x:c>
      <x:c r="H14" s="315" t="str">
        <x:v>Prior evidence retained; access map updated 15 Sep</x:v>
      </x:c>
    </x:row>
    <x:row r="15" ht="94" customHeight="1">
      <x:c r="A15" s="311" t="str">
        <x:v>INT-10</x:v>
      </x:c>
      <x:c r="B15" s="339" t="str">
        <x:v>Belgium / ESA — ESA — Space Weather Service Network</x:v>
      </x:c>
      <x:c r="C15" s="311" t="str">
        <x:v>European space-weather products / archive / API / V&amp;V support</x:v>
      </x:c>
      <x:c r="D15" s="311" t="str">
        <x:v>Product-specific portal/account conditions to confirm</x:v>
      </x:c>
      <x:c r="E15" s="311" t="str">
        <x:v>Not Contacted</x:v>
      </x:c>
      <x:c r="F15" s="320" t="str">
        <x:v>POC Register • row 11</x:v>
      </x:c>
      <x:c r="G15" s="311" t="str">
        <x:v>https://swe.ssa.esa.int/contact</x:v>
      </x:c>
      <x:c r="H15" s="311" t="str">
        <x:v>Prior evidence retained; access map updated 15 Sep</x:v>
      </x:c>
    </x:row>
    <x:row r="16" ht="94" customHeight="1">
      <x:c r="A16" s="315" t="str">
        <x:v>INT-11</x:v>
      </x:c>
      <x:c r="B16" s="339" t="str">
        <x:v>Germany — EUMETSAT — User Service Helpdesk</x:v>
      </x:c>
      <x:c r="C16" s="315" t="str">
        <x:v>Atmospheric / precipitation / ground-station environmental availability</x:v>
      </x:c>
      <x:c r="D16" s="315" t="str">
        <x:v>User-service portal; product access conditions vary</x:v>
      </x:c>
      <x:c r="E16" s="315" t="str">
        <x:v>Not Contacted</x:v>
      </x:c>
      <x:c r="F16" s="319" t="str">
        <x:v>POC Register • row 12</x:v>
      </x:c>
      <x:c r="G16" s="315" t="str">
        <x:v>https://www.eumetsat.int/contact-eumetsat</x:v>
      </x:c>
      <x:c r="H16" s="315" t="str">
        <x:v>Prior evidence retained; access map updated 15 Sep</x:v>
      </x:c>
    </x:row>
    <x:row r="17" ht="94" customHeight="1">
      <x:c r="A17" s="311" t="str">
        <x:v>INT-12</x:v>
      </x:c>
      <x:c r="B17" s="341" t="str">
        <x:v>New Zealand — New Zealand Space Agency</x:v>
      </x:c>
      <x:c r="C17" s="311" t="str">
        <x:v>Referral / ecosystem access / public NZ space research and infrastructure</x:v>
      </x:c>
      <x:c r="D17" s="311" t="str">
        <x:v>Referral route; no standalone dataset established</x:v>
      </x:c>
      <x:c r="E17" s="311" t="str">
        <x:v>Not Contacted</x:v>
      </x:c>
      <x:c r="F17" s="320" t="str">
        <x:v>POC Register • row 13</x:v>
      </x:c>
      <x:c r="G17" s="311" t="str">
        <x:v>https://www.mbie.govt.nz/science-and-technology/space/connect-with-nzsa</x:v>
      </x:c>
      <x:c r="H17" s="311" t="str">
        <x:v>Prior evidence retained; access map updated 15 Sep</x:v>
      </x:c>
    </x:row>
    <x:row r="18" ht="94" customHeight="1">
      <x:c r="A18" s="315" t="str">
        <x:v>INT-13</x:v>
      </x:c>
      <x:c r="B18" s="341" t="str">
        <x:v>Germany / ESA — ESA Space Debris Office — DISCOS / SDUP</x:v>
      </x:c>
      <x:c r="C18" s="315" t="str">
        <x:v>Spacecraft/object metadata / independent orbital context</x:v>
      </x:c>
      <x:c r="D18" s="315" t="str">
        <x:v>Portal/API; data-use conditions to check</x:v>
      </x:c>
      <x:c r="E18" s="315" t="str">
        <x:v>Not Contacted</x:v>
      </x:c>
      <x:c r="F18" s="319" t="str">
        <x:v>POC Register • row 14</x:v>
      </x:c>
      <x:c r="G18" s="315" t="str">
        <x:v>https://sdup.esoc.esa.int/contact</x:v>
      </x:c>
      <x:c r="H18" s="315" t="str">
        <x:v>Prior evidence retained; access map updated 15 Sep</x:v>
      </x:c>
    </x:row>
    <x:row r="19" ht="94" customHeight="1">
      <x:c r="A19" s="311" t="str">
        <x:v>EXP-01</x:v>
      </x:c>
      <x:c r="B19" s="340" t="str">
        <x:v>United Kingdom — University of Surrey — LEOScope</x:v>
      </x:c>
      <x:c r="C19" s="311" t="str">
        <x:v>Direct satellite-network measurement route. Check overlaps with existing UVic, Osnabrück and TUM nodes before claiming independent evidence.</x:v>
      </x:c>
      <x:c r="D19" s="311" t="str">
        <x:v>Testbed verified; existing public historical files not confirmed. Research access and conditions require coordination.</x:v>
      </x:c>
      <x:c r="E19" s="311" t="str">
        <x:v>Candidate — not contacted in this update — 14 Sep 2026</x:v>
      </x:c>
      <x:c r="F19" s="320" t="str">
        <x:v>Expansion 14 Sep • row 5</x:v>
      </x:c>
      <x:c r="G19" s="311" t="str">
        <x:v>https://leoscope.surrey.ac.uk/</x:v>
      </x:c>
      <x:c r="H19" s="311" t="str">
        <x:v>14 Sep evidence retained</x:v>
      </x:c>
    </x:row>
    <x:row r="20" ht="94" customHeight="1">
      <x:c r="A20" s="315" t="str">
        <x:v>EXP-02</x:v>
      </x:c>
      <x:c r="B20" s="340" t="str">
        <x:v>Sweden — Karlstad University — Computer Science</x:v>
      </x:c>
      <x:c r="C20" s="315" t="str">
        <x:v>High-precision latency/asymmetry inputs. Missing sequence numbers may reflect timestamp-readout failure, not packet loss. Not an established uptime/outage table.</x:v>
      </x:c>
      <x:c r="D20" s="315" t="str">
        <x:v>Public Zenodo dataset and README identified. Bulk files not downloaded or screened; dataset-specific licence still to record.</x:v>
      </x:c>
      <x:c r="E20" s="315" t="str">
        <x:v>Candidate — public data release identified; not contacted — 14 Sep 2026</x:v>
      </x:c>
      <x:c r="F20" s="319" t="str">
        <x:v>Expansion 14 Sep • row 16</x:v>
      </x:c>
      <x:c r="G20" s="315" t="str">
        <x:v>https://zenodo.org/records/16275284
https://doi.org/10.1145/3748749.3749090</x:v>
      </x:c>
      <x:c r="H20" s="315" t="str">
        <x:v>14 Sep evidence retained</x:v>
      </x:c>
    </x:row>
    <x:row r="21" ht="94" customHeight="1">
      <x:c r="A21" s="311" t="str">
        <x:v>EXP-03</x:v>
      </x:c>
      <x:c r="B21" s="340" t="str">
        <x:v>Greece — Hellenic Telecommunications Organization (OTE) — NEXASPHERE</x:v>
      </x:c>
      <x:c r="C21" s="311" t="str">
        <x:v>Compact initial import and nominal baseline. Repository reports 100% connectivity, so do not call this outage-rich or assume complete sampling from that headline.</x:v>
      </x:c>
      <x:c r="D21" s="311" t="str">
        <x:v>Public Zenodo files identified; no file-level validation performed. Contact addresses are published consortium routes; current deliverability not tested.</x:v>
      </x:c>
      <x:c r="E21" s="311" t="str">
        <x:v>Candidate — public data release identified; not contacted — 14 Sep 2026</x:v>
      </x:c>
      <x:c r="F21" s="320" t="str">
        <x:v>Expansion 14 Sep • row 27</x:v>
      </x:c>
      <x:c r="G21" s="311" t="str">
        <x:v>https://zenodo.org/records/20796667
https://nexasphere.eu/</x:v>
      </x:c>
      <x:c r="H21" s="311" t="str">
        <x:v>14 Sep evidence retained</x:v>
      </x:c>
    </x:row>
    <x:row r="22" ht="94" customHeight="1">
      <x:c r="A22" s="315" t="str">
        <x:v>EXP-04</x:v>
      </x:c>
      <x:c r="B22" s="340" t="str">
        <x:v>Italy — Politecnico di Torino — SmartData / Telecommunication Networks Group</x:v>
      </x:c>
      <x:c r="C22" s="315" t="str">
        <x:v>Useful load/latency/bottleneck behavior, not necessarily a long continuous service-availability log. Institution country is Italy; do not assume every measurement occurred there.</x:v>
      </x:c>
      <x:c r="D22" s="315" t="str">
        <x:v>University open-data page publishes a download route. Raw archive accessibility/file completeness not tested. Landing page contains an inconsistent conference-year statement; retain 2022 paper year from institutional publication record.</x:v>
      </x:c>
      <x:c r="E22" s="315" t="str">
        <x:v>Candidate — public data route identified; not contacted — 14 Sep 2026</x:v>
      </x:c>
      <x:c r="F22" s="319" t="str">
        <x:v>Expansion 14 Sep • row 38</x:v>
      </x:c>
      <x:c r="G22" s="315" t="str">
        <x:v>https://smartdata.polito.it/a-first-look-at-starlink-performance-open-data/</x:v>
      </x:c>
      <x:c r="H22" s="315" t="str">
        <x:v>14 Sep evidence retained</x:v>
      </x:c>
    </x:row>
    <x:row r="23" ht="94" customHeight="1">
      <x:c r="A23" s="311" t="str">
        <x:v>EXP-05</x:v>
      </x:c>
      <x:c r="B23" s="340" t="str">
        <x:v>Brazil — Universidade Federal Fluminense — MídiaCom / PPGEET</x:v>
      </x:c>
      <x:c r="C23" s="311" t="str">
        <x:v>Direct Southern Hemisphere network behavior and obstruction/mobility cases. Screening must establish whether interruptions can support a defined downtime/recovery measure.</x:v>
      </x:c>
      <x:c r="D23" s="311" t="str">
        <x:v>Paper supplies dataset DOI 10.34740/kaggle/dsv/13069525. Kaggle page linked; files not downloaded. Paper's generic data-availability sentence contradicts its dataset footnote; resolve version/coverage with authors.</x:v>
      </x:c>
      <x:c r="E23" s="311" t="str">
        <x:v>Candidate — published data pointer; access/metadata checks open — 14 Sep 2026</x:v>
      </x:c>
      <x:c r="F23" s="320" t="str">
        <x:v>Expansion 14 Sep • row 49</x:v>
      </x:c>
      <x:c r="G23" s="311" t="str">
        <x:v>https://www.kaggle.com/datasets/ferrazani/mobile-leo-satellite-access-network
https://doi.org/10.1007/s12243-026-01189-2</x:v>
      </x:c>
      <x:c r="H23" s="311" t="str">
        <x:v>14 Sep evidence retained</x:v>
      </x:c>
    </x:row>
    <x:row r="24" ht="94" customHeight="1">
      <x:c r="A24" s="315" t="str">
        <x:v>EXP-06</x:v>
      </x:c>
      <x:c r="B24" s="340" t="str">
        <x:v>Finland — VTT Technical Research Centre of Finland / University of Oulu</x:v>
      </x:c>
      <x:c r="C24" s="315" t="str">
        <x:v>Published stationary/mobile Starlink measurements remain useful as literature/context, but the underlying data are not available from the contacted Oulu source.</x:v>
      </x:c>
      <x:c r="D24" s="315" t="str">
        <x:v>Harri Saarnisaari replied 23 Sep 2026: 'Unfortunately our data is not anymore available. We did not save it.' No raw sample/archive can be supplied from this lead.</x:v>
      </x:c>
      <x:c r="E24" s="315" t="str">
        <x:v>RESPONDED 23 Sep 2026 — CLOSED / NO DATA RETAINED</x:v>
      </x:c>
      <x:c r="F24" s="319" t="str">
        <x:v>Finland Update 23 Sep • provider response</x:v>
      </x:c>
      <x:c r="G24" s="315" t="str">
        <x:v>https://oulurepo.oulu.fi/handle/10024/58511
https://doi.org/10.1109/MeditCom64437.2025.11104426</x:v>
      </x:c>
      <x:c r="H24" s="315" t="str">
        <x:v>23 Sep 2026 — provider-confirmed no dataset retained</x:v>
      </x:c>
    </x:row>
    <x:row r="25" ht="94" customHeight="1">
      <x:c r="A25" s="311" t="str">
        <x:v>MX-01</x:v>
      </x:c>
      <x:c r="B25" s="339" t="str">
        <x:v>Mexico — UNAM / SCiESMEX / LANCE</x:v>
      </x:c>
      <x:c r="C25" s="311" t="str">
        <x:v>Environmental observations</x:v>
      </x:c>
      <x:c r="D25" s="311" t="str">
        <x:v>Public repository and product catalogue verified; no numerical sample downloaded.</x:v>
      </x:c>
      <x:c r="E25" s="311" t="str">
        <x:v>Identified — no new outreach established</x:v>
      </x:c>
      <x:c r="F25" s="320" t="str">
        <x:v>Remote Sources 15 Sep • row 6</x:v>
      </x:c>
      <x:c r="G25" s="311" t="str">
        <x:v>https://www.rice.unam.mx/</x:v>
      </x:c>
      <x:c r="H25" s="311" t="str">
        <x:v>15 Sep v09 evidence retained</x:v>
      </x:c>
    </x:row>
    <x:row r="26" ht="94" customHeight="1">
      <x:c r="A26" s="315" t="str">
        <x:v>AR-01</x:v>
      </x:c>
      <x:c r="B26" s="339" t="str">
        <x:v>Argentina — Universidad Nacional de La Plata / SIRGAS</x:v>
      </x:c>
      <x:c r="C26" s="315" t="str">
        <x:v>GNSS-derived environmental maps</x:v>
      </x:c>
      <x:c r="D26" s="315" t="str">
        <x:v>Official product and legacy data-server pointer verified; direct legacy server access not confirmed in this review.</x:v>
      </x:c>
      <x:c r="E26" s="315" t="str">
        <x:v>Identified — no new outreach established</x:v>
      </x:c>
      <x:c r="F26" s="319" t="str">
        <x:v>Remote Sources 15 Sep • row 17</x:v>
      </x:c>
      <x:c r="G26" s="315" t="str">
        <x:v>https://sirgas.ipgh.org/en/products/ionospheric-maps/</x:v>
      </x:c>
      <x:c r="H26" s="315" t="str">
        <x:v>15 Sep v09 evidence retained</x:v>
      </x:c>
    </x:row>
    <x:row r="27" ht="94" customHeight="1">
      <x:c r="A27" s="311" t="str">
        <x:v>AQ-01</x:v>
      </x:c>
      <x:c r="B27" s="341" t="str">
        <x:v>Antarctica — US Antarctic Program / South Pole</x:v>
      </x:c>
      <x:c r="C27" s="311" t="str">
        <x:v>Planned satellite contact schedules</x:v>
      </x:c>
      <x:c r="D27" s="311" t="str">
        <x:v>Public schedule distribution verified; actual service logs and delay measurements not established.</x:v>
      </x:c>
      <x:c r="E27" s="311" t="str">
        <x:v>Identified — no new outreach established</x:v>
      </x:c>
      <x:c r="F27" s="320" t="str">
        <x:v>Remote Sources 15 Sep • row 27</x:v>
      </x:c>
      <x:c r="G27" s="311" t="str">
        <x:v>https://www.usap.gov/technology/sctnsouthpolesats.cfm</x:v>
      </x:c>
      <x:c r="H27" s="311" t="str">
        <x:v>15 Sep v09 evidence retained</x:v>
      </x:c>
    </x:row>
    <x:row r="28" ht="94" customHeight="1">
      <x:c r="A28" s="315" t="str">
        <x:v>AQ-02</x:v>
      </x:c>
      <x:c r="B28" s="339" t="str">
        <x:v>Antarctica / Arctic — UiT Tromsø Geophysical Observatory</x:v>
      </x:c>
      <x:c r="C28" s="315" t="str">
        <x:v>Geomagnetic observations</x:v>
      </x:c>
      <x:c r="D28" s="315" t="str">
        <x:v>Download interface verified; password/data-use rules and site/date coverage must be checked.</x:v>
      </x:c>
      <x:c r="E28" s="315" t="str">
        <x:v>Identified — no new outreach established</x:v>
      </x:c>
      <x:c r="F28" s="319" t="str">
        <x:v>Remote Sources 15 Sep • row 37</x:v>
      </x:c>
      <x:c r="G28" s="315" t="str">
        <x:v>https://flux.phys.uit.no/ascii/</x:v>
      </x:c>
      <x:c r="H28" s="315" t="str">
        <x:v>15 Sep v09 evidence retained</x:v>
      </x:c>
    </x:row>
    <x:row r="29" ht="94" customHeight="1">
      <x:c r="A29" s="311" t="str">
        <x:v>LK-01</x:v>
      </x:c>
      <x:c r="B29" s="341" t="str">
        <x:v>Sri Lanka — Lanka Education and Research Network (LEARN)</x:v>
      </x:c>
      <x:c r="C29" s="311" t="str">
        <x:v>Terrestrial academic-network measurements</x:v>
      </x:c>
      <x:c r="D29" s="311" t="str">
        <x:v>Measurement/monitoring interfaces verified; bulk historical numerical export and retention not confirmed.</x:v>
      </x:c>
      <x:c r="E29" s="311" t="str">
        <x:v>Identified — no new outreach established</x:v>
      </x:c>
      <x:c r="F29" s="320" t="str">
        <x:v>Remote Sources 15 Sep • row 66</x:v>
      </x:c>
      <x:c r="G29" s="311" t="str">
        <x:v>https://www.ac.lk/network</x:v>
      </x:c>
      <x:c r="H29" s="311" t="str">
        <x:v>15 Sep v09 evidence retained</x:v>
      </x:c>
    </x:row>
    <x:row r="30" ht="94" customHeight="1">
      <x:c r="A30" s="315" t="str">
        <x:v>IN-01</x:v>
      </x:c>
      <x:c r="B30" s="339" t="str">
        <x:v>India — Indian Institute of Geomagnetism / WDC Mumbai</x:v>
      </x:c>
      <x:c r="C30" s="315" t="str">
        <x:v>Geomagnetic environmental observations</x:v>
      </x:c>
      <x:c r="D30" s="315" t="str">
        <x:v>Institutional scientific-data archive and access policy verified; station/period files not sampled.</x:v>
      </x:c>
      <x:c r="E30" s="315" t="str">
        <x:v>Identified — no new outreach established</x:v>
      </x:c>
      <x:c r="F30" s="319" t="str">
        <x:v>Remote Sources 15 Sep • row 77</x:v>
      </x:c>
      <x:c r="G30" s="315" t="str">
        <x:v>https://wdc.iigm.res.in/</x:v>
      </x:c>
      <x:c r="H30" s="315" t="str">
        <x:v>15 Sep v09 evidence retained</x:v>
      </x:c>
    </x:row>
    <x:row r="31" ht="94" customHeight="1">
      <x:c r="A31" s="311" t="str">
        <x:v>IN-02</x:v>
      </x:c>
      <x:c r="B31" s="339" t="str">
        <x:v>India — Kolkata-area research observatory / VLF study</x:v>
      </x:c>
      <x:c r="C31" s="311" t="str">
        <x:v>Measured radio-propagation disturbance</x:v>
      </x:c>
      <x:c r="D31" s="311" t="str">
        <x:v>Public Mendeley dataset record with Download All and CC BY 4.0 metadata verified; files not inspected.</x:v>
      </x:c>
      <x:c r="E31" s="311" t="str">
        <x:v>Identified — no new outreach established</x:v>
      </x:c>
      <x:c r="F31" s="320" t="str">
        <x:v>Remote Sources 15 Sep • row 89</x:v>
      </x:c>
      <x:c r="G31" s="311" t="str">
        <x:v>https://data.mendeley.com/datasets/npygym5sf6/1</x:v>
      </x:c>
      <x:c r="H31" s="311" t="str">
        <x:v>15 Sep v09 evidence retained</x:v>
      </x:c>
    </x:row>
    <x:row r="32" ht="94" customHeight="1">
      <x:c r="A32" s="315" t="str">
        <x:v>BD-01</x:v>
      </x:c>
      <x:c r="B32" s="341" t="str">
        <x:v>Bangladesh — Bangladesh Research and Education Network (BdREN)</x:v>
      </x:c>
      <x:c r="C32" s="315" t="str">
        <x:v>Academic network / data-holder inquiry</x:v>
      </x:c>
      <x:c r="D32" s="315" t="str">
        <x:v>Contact/service description verified. Public historical raw latency/outage dataset not established.</x:v>
      </x:c>
      <x:c r="E32" s="315" t="str">
        <x:v>Identified — no new outreach established</x:v>
      </x:c>
      <x:c r="F32" s="319" t="str">
        <x:v>Remote Sources 15 Sep • row 98</x:v>
      </x:c>
      <x:c r="G32" s="315" t="str">
        <x:v>https://bdren.net.bd/contact</x:v>
      </x:c>
      <x:c r="H32" s="315" t="str">
        <x:v>15 Sep v09 evidence retained</x:v>
      </x:c>
    </x:row>
    <x:row r="33" ht="94" customHeight="1">
      <x:c r="A33" s="311" t="str">
        <x:v>BD-02</x:v>
      </x:c>
      <x:c r="B33" s="340" t="str">
        <x:v>Bangladesh / global — IODA and OONI</x:v>
      </x:c>
      <x:c r="C33" s="311" t="str">
        <x:v>Observed Internet disruption / reachability evidence</x:v>
      </x:c>
      <x:c r="D33" s="311" t="str">
        <x:v>Public measurement/analysis routes verified; extract selection and completeness screening remain open.</x:v>
      </x:c>
      <x:c r="E33" s="311" t="str">
        <x:v>Identified — no new outreach established</x:v>
      </x:c>
      <x:c r="F33" s="320" t="str">
        <x:v>Remote Sources 15 Sep • row 108</x:v>
      </x:c>
      <x:c r="G33" s="311" t="str">
        <x:v>https://ioda.inetintel.cc.gatech.edu/about</x:v>
      </x:c>
      <x:c r="H33" s="311" t="str">
        <x:v>15 Sep v09 evidence retained</x:v>
      </x:c>
    </x:row>
    <x:row r="34" ht="94" customHeight="1">
      <x:c r="A34" s="315" t="str">
        <x:v>TDC-01</x:v>
      </x:c>
      <x:c r="B34" s="339" t="str">
        <x:v>Tristan da Cunha — GFZ / INTERMAGNET / NASA SPDF</x:v>
      </x:c>
      <x:c r="C34" s="315" t="str">
        <x:v>Remote-island geomagnetic observations</x:v>
      </x:c>
      <x:c r="D34" s="315" t="str">
        <x:v>Public dataset catalogue and INTERMAGNET access route verified; specific date sample not downloaded.</x:v>
      </x:c>
      <x:c r="E34" s="315" t="str">
        <x:v>Identified — no new outreach established</x:v>
      </x:c>
      <x:c r="F34" s="319" t="str">
        <x:v>Remote Sources 15 Sep • row 118</x:v>
      </x:c>
      <x:c r="G34" s="315" t="str">
        <x:v>https://www.gfz.de/en/section/geomagnetism/infrastructure/geomagnetic-observatories/tristan-da-cunha</x:v>
      </x:c>
      <x:c r="H34" s="315" t="str">
        <x:v>15 Sep v09 evidence retained</x:v>
      </x:c>
    </x:row>
    <x:row r="35" ht="94" customHeight="1">
      <x:c r="A35" s="311" t="str">
        <x:v>ISL-01</x:v>
      </x:c>
      <x:c r="B35" s="339" t="str">
        <x:v>Christmas Island / Kiritimati — historical ionospheric archives</x:v>
      </x:c>
      <x:c r="C35" s="311" t="str">
        <x:v>Historical ionospheric parameters / medians</x:v>
      </x:c>
      <x:c r="D35" s="311" t="str">
        <x:v>Historical catalogue verified; exact station/year product availability not yet inspected.</x:v>
      </x:c>
      <x:c r="E35" s="311" t="str">
        <x:v>Identified — no new outreach established</x:v>
      </x:c>
      <x:c r="F35" s="320" t="str">
        <x:v>Remote Sources 15 Sep • row 129</x:v>
      </x:c>
      <x:c r="G35" s="311" t="str">
        <x:v>https://www.sws.bom.gov.au/World_Data_Centre/2/8/2</x:v>
      </x:c>
      <x:c r="H35" s="311" t="str">
        <x:v>15 Sep v09 evidence retained</x:v>
      </x:c>
    </x:row>
    <x:row r="36" ht="94" customHeight="1">
      <x:c r="A36" s="315" t="str">
        <x:v>CW-01</x:v>
      </x:c>
      <x:c r="B36" s="339" t="str">
        <x:v>Canada / historical space research — Alouette and ISIS (NASA archive)</x:v>
      </x:c>
      <x:c r="C36" s="315" t="str">
        <x:v>Digitized analogue-era ionospheric satellite data</x:v>
      </x:c>
      <x:c r="D36" s="315" t="str">
        <x:v>Public restoration/data-access documentation verified; not all historical missions/years are digitized or complete.</x:v>
      </x:c>
      <x:c r="E36" s="315" t="str">
        <x:v>Identified — no new outreach established</x:v>
      </x:c>
      <x:c r="F36" s="319" t="str">
        <x:v>Remote Sources 15 Sep • row 139</x:v>
      </x:c>
      <x:c r="G36" s="315" t="str">
        <x:v>https://spdf.gsfc.nasa.gov/isis/</x:v>
      </x:c>
      <x:c r="H36" s="315" t="str">
        <x:v>15 Sep v09 evidence retained</x:v>
      </x:c>
    </x:row>
    <x:row r="37" ht="94" customHeight="1">
      <x:c r="A37" s="311" t="str">
        <x:v>CW-02</x:v>
      </x:c>
      <x:c r="B37" s="339" t="str">
        <x:v>Worldwide historical stations — BoM / former NGDC ionosondes</x:v>
      </x:c>
      <x:c r="C37" s="311" t="str">
        <x:v>Cold War-era numerical ionospheric records</x:v>
      </x:c>
      <x:c r="D37" s="311" t="str">
        <x:v>Public archive documentation verified; periods vary by station and do not imply complete 1957–1990 coverage.</x:v>
      </x:c>
      <x:c r="E37" s="311" t="str">
        <x:v>Identified — no new outreach established</x:v>
      </x:c>
      <x:c r="F37" s="320" t="str">
        <x:v>Remote Sources 15 Sep • row 150</x:v>
      </x:c>
      <x:c r="G37" s="311" t="str">
        <x:v>https://www.sws.bom.gov.au/World_Data_Centre/1/3</x:v>
      </x:c>
      <x:c r="H37" s="311" t="str">
        <x:v>15 Sep v09 evidence retained</x:v>
      </x:c>
    </x:row>
    <x:row r="38" ht="94" customHeight="1">
      <x:c r="A38" s="315" t="str">
        <x:v>NET-01</x:v>
      </x:c>
      <x:c r="B38" s="340" t="str">
        <x:v>Global — Measurement Lab (M-Lab) — NDT / BigQuery</x:v>
      </x:c>
      <x:c r="C38" s="315" t="str">
        <x:v>ASN-filterable Internet performance measurements</x:v>
      </x:c>
      <x:c r="D38" s="315" t="str">
        <x:v>Substantive provider reply 22 Sep 2026 confirms NDT/BigQuery as the applicable dataset and confirms client/server ASN filtering. M-Lab does not provide a separate outage-labeled dataset.</x:v>
      </x:c>
      <x:c r="E38" s="315" t="str">
        <x:v>RESPONDED 22 Sep — Nathan / M-Lab support</x:v>
      </x:c>
      <x:c r="F38" s="319" t="str">
        <x:v>Remote Sources 15 Sep • row 160; M-Lab reply 22 Sep</x:v>
      </x:c>
      <x:c r="G38" s="315" t="str">
        <x:v>https://www.measurementlab.net/tests/ndt/</x:v>
      </x:c>
      <x:c r="H38" s="315" t="str">
        <x:v>22 Sep 2026 provider confirmation; Readiness remains 2 pending numerical sample inspection</x:v>
      </x:c>
    </x:row>
    <x:row r="39" ht="94" customHeight="1">
      <x:c r="A39" s="311" t="str">
        <x:v>DOM-NASA</x:v>
      </x:c>
      <x:c r="B39" s="341" t="str">
        <x:v>United States — NASA — SCaN</x:v>
      </x:c>
      <x:c r="C39" s="311" t="str">
        <x:v>Architecture reference; inquiry for measured communications performance and referrals.</x:v>
      </x:c>
      <x:c r="D39" s="311" t="str">
        <x:v>Public documents; performance logs not confirmed.</x:v>
      </x:c>
      <x:c r="E39" s="311" t="str">
        <x:v>Inquiry draft / lead; sending not confirmed</x:v>
      </x:c>
      <x:c r="F39" s="320" t="str">
        <x:v>Domestic Contacts • row 5</x:v>
      </x:c>
      <x:c r="G39" s="311" t="str">
        <x:v>https://www.nasa.gov/directorates/somd/space-communications-navigation-program/contact-scan/</x:v>
      </x:c>
      <x:c r="H39" s="311" t="str">
        <x:v>15 Sep primary contact check</x:v>
      </x:c>
    </x:row>
    <x:row r="40" ht="94" customHeight="1">
      <x:c r="A40" s="315" t="str">
        <x:v>DOM-JPL</x:v>
      </x:c>
      <x:c r="B40" s="342" t="str">
        <x:v>United States — NASA/JPL — Artificial Intelligence Group</x:v>
      </x:c>
      <x:c r="C40" s="315" t="str">
        <x:v>Onboard planning, task scheduling, execution and decision-support evidence.</x:v>
      </x:c>
      <x:c r="D40" s="315" t="str">
        <x:v>Public researcher/project information; execution logs and datasets require inquiry.</x:v>
      </x:c>
      <x:c r="E40" s="315" t="str">
        <x:v>Inquiry draft / lead; sending not confirmed</x:v>
      </x:c>
      <x:c r="F40" s="319" t="str">
        <x:v>Domestic Contacts • row 18</x:v>
      </x:c>
      <x:c r="G40" s="315" t="str">
        <x:v>https://ai.jpl.nasa.gov/public/people/chien/</x:v>
      </x:c>
      <x:c r="H40" s="315" t="str">
        <x:v>15 Sep primary contact check</x:v>
      </x:c>
    </x:row>
    <x:row r="41" ht="94" customHeight="1">
      <x:c r="A41" s="311" t="str">
        <x:v>DOM-NOAA</x:v>
      </x:c>
      <x:c r="B41" s="339" t="str">
        <x:v>United States — NOAA — Space Weather Prediction Center</x:v>
      </x:c>
      <x:c r="C41" s="311" t="str">
        <x:v>Space-weather observations and alerts; communications-impact/referral inquiry.</x:v>
      </x:c>
      <x:c r="D41" s="311" t="str">
        <x:v>Public products; selected fields/history and archive routes to inspect.</x:v>
      </x:c>
      <x:c r="E41" s="311" t="str">
        <x:v>Inquiry draft / lead; sending not confirmed</x:v>
      </x:c>
      <x:c r="F41" s="320" t="str">
        <x:v>Domestic Contacts • row 31</x:v>
      </x:c>
      <x:c r="G41" s="311" t="str">
        <x:v>https://www.spaceweather.gov/news/swpc-legacy-website-removal-5-september-2018</x:v>
      </x:c>
      <x:c r="H41" s="311" t="str">
        <x:v>15 Sep primary contact check</x:v>
      </x:c>
    </x:row>
    <x:row r="42" ht="110" customHeight="1">
      <x:c r="A42" s="315" t="str">
        <x:v>DOM-NCEI-SW</x:v>
      </x:c>
      <x:c r="B42" s="339" t="str">
        <x:v>United States — NOAA NCEI — Space Weather / Geophysics</x:v>
      </x:c>
      <x:c r="C42" s="315" t="str">
        <x:v>Environmental/event-selection data; direct engineering network records excluded by NCEI.</x:v>
      </x:c>
      <x:c r="D42" s="315" t="str">
        <x:v>EXIS, GloTEC, ionosonde and event-report routes checked; numerical sample import pending.</x:v>
      </x:c>
      <x:c r="E42" s="315" t="str">
        <x:v>Responded twice 15 Sep — specific product recommendations received.</x:v>
      </x:c>
      <x:c r="F42" s="319" t="str">
        <x:v>Domestic Contacts / NCEI Update 15 Sep / Data Triage / Field Verification</x:v>
      </x:c>
      <x:c r="G42" s="315" t="str">
        <x:v>https://www.ncei.noaa.gov/products/goes-r-extreme-ultraviolet-xray-irradiance</x:v>
      </x:c>
      <x:c r="H42" s="315" t="str">
        <x:v>Josh Riley recommended EXIS XRS/EUVS 1-minute products, GloTEC, ionosonde and event reports. Pair with separate direct-network traces. [15 Sep 2026]</x:v>
      </x:c>
    </x:row>
    <x:row r="43" ht="94" customHeight="1">
      <x:c r="A43" s="311" t="str">
        <x:v>DOM-NCEI-WX</x:v>
      </x:c>
      <x:c r="B43" s="339" t="str">
        <x:v>United States — NOAA NCEI — Climate / Past Weather</x:v>
      </x:c>
      <x:c r="C43" s="311" t="str">
        <x:v>Ground-site environmental observations; communications-impact referral.</x:v>
      </x:c>
      <x:c r="D43" s="311" t="str">
        <x:v>Public catalog; select product/station/date and inspect access.</x:v>
      </x:c>
      <x:c r="E43" s="311" t="str">
        <x:v>Inquiry draft / lead; sending not confirmed</x:v>
      </x:c>
      <x:c r="F43" s="320" t="str">
        <x:v>Domestic Contacts • row 57</x:v>
      </x:c>
      <x:c r="G43" s="311" t="str">
        <x:v>https://www.ncei.noaa.gov/contact</x:v>
      </x:c>
      <x:c r="H43" s="311" t="str">
        <x:v>15 Sep primary contact check</x:v>
      </x:c>
    </x:row>
    <x:row r="44" ht="94" customHeight="1">
      <x:c r="A44" s="315" t="str">
        <x:v>DOM-RAND</x:v>
      </x:c>
      <x:c r="B44" s="341" t="str">
        <x:v>United States — RAND — Resilience Assessment Framework</x:v>
      </x:c>
      <x:c r="C44" s="315" t="str">
        <x:v>Resilience methods, definitions and supporting model/data inquiry.</x:v>
      </x:c>
      <x:c r="D44" s="315" t="str">
        <x:v>Public report; underlying inputs, code and benchmarks not confirmed.</x:v>
      </x:c>
      <x:c r="E44" s="315" t="str">
        <x:v>Inquiry draft / lead; sending not confirmed</x:v>
      </x:c>
      <x:c r="F44" s="319" t="str">
        <x:v>Domestic Contacts • row 70</x:v>
      </x:c>
      <x:c r="G44" s="315" t="str">
        <x:v>https://doi.org/10.1017/cfl.2025.10036</x:v>
      </x:c>
      <x:c r="H44" s="315" t="str">
        <x:v>15 Sep primary contact check</x:v>
      </x:c>
    </x:row>
    <x:row r="45" ht="94" customHeight="1">
      <x:c r="A45" s="311" t="str">
        <x:v>DOM-CT</x:v>
      </x:c>
      <x:c r="B45" s="341" t="str">
        <x:v>United States — CelesTrak — Orbital Products</x:v>
      </x:c>
      <x:c r="C45" s="311" t="str">
        <x:v>Orbital elements for visibility, slant range and contact opportunities.</x:v>
      </x:c>
      <x:c r="D45" s="311" t="str">
        <x:v>Public product endpoints; historical access and retrieval limits to check.</x:v>
      </x:c>
      <x:c r="E45" s="311" t="str">
        <x:v>Inquiry draft / lead; sending not confirmed</x:v>
      </x:c>
      <x:c r="F45" s="320" t="str">
        <x:v>Domestic Contacts • row 83</x:v>
      </x:c>
      <x:c r="G45" s="311" t="str">
        <x:v>https://github.com/CelesTrak</x:v>
      </x:c>
      <x:c r="H45" s="311" t="str">
        <x:v>15 Sep primary contact check</x:v>
      </x:c>
    </x:row>
    <x:row r="46" ht="94" customHeight="1">
      <x:c r="A46" s="315" t="str">
        <x:v>DOM-AFRL</x:v>
      </x:c>
      <x:c r="B46" s="343" t="str">
        <x:v>United States — AFRL / Boston College — SCINDA</x:v>
      </x:c>
      <x:c r="C46" s="315" t="str">
        <x:v>Ionospheric/scintillation data; public-release determination and routing only.</x:v>
      </x:c>
      <x:c r="D46" s="315" t="str">
        <x:v>Authorized-use portal — permission and public-release suitability unresolved.</x:v>
      </x:c>
      <x:c r="E46" s="315" t="str">
        <x:v>Inquiry draft / lead; sending not confirmed</x:v>
      </x:c>
      <x:c r="F46" s="319" t="str">
        <x:v>Domestic Contacts • row 96</x:v>
      </x:c>
      <x:c r="G46" s="315" t="str">
        <x:v>https://scinda.bc.edu/</x:v>
      </x:c>
      <x:c r="H46" s="315" t="str">
        <x:v>15 Sep primary contact check</x:v>
      </x:c>
    </x:row>
    <x:row r="47" ht="94" customHeight="1">
      <x:c r="A47" s="311" t="str">
        <x:v>NET-02</x:v>
      </x:c>
      <x:c r="B47" s="340" t="str">
        <x:v>Global / TU Delft — Horizon — Global Starlink</x:v>
      </x:c>
      <x:c r="C47" s="311" t="str">
        <x:v>Measured network + predictive artifacts</x:v>
      </x:c>
      <x:c r="D47" s="311" t="str">
        <x:v>Public repository; BigQuery setup for collection</x:v>
      </x:c>
      <x:c r="E47" s="311" t="str">
        <x:v>Identified; no new outreach established</x:v>
      </x:c>
      <x:c r="F47" s="320" t="str">
        <x:v>Access and Sampling • row 5</x:v>
      </x:c>
      <x:c r="G47" s="311" t="str">
        <x:v>https://github.com/SPEAR-Research-Lab/Horizon-Predicting-Starlink-Performance</x:v>
      </x:c>
      <x:c r="H47" s="311" t="str">
        <x:v>Repository checked 15 Sep; data DOI 10.4121/0bf59468-e5cb-433f-aeb2-e04cf694b65c. Country-level coverage not inspected. GPL-3.0 code; check separate dataset terms.</x:v>
      </x:c>
    </x:row>
    <x:row r="48" ht="94" customHeight="1">
      <x:c r="A48" s="315" t="str">
        <x:v>NET-03</x:v>
      </x:c>
      <x:c r="B48" s="340" t="str">
        <x:v>Global / HPI research — Breaking Through the Clouds</x:v>
      </x:c>
      <x:c r="C48" s="315" t="str">
        <x:v>Measured network / RIPE-derived</x:v>
      </x:c>
      <x:c r="D48" s="315" t="str">
        <x:v>Public tooling; bulk archive route to confirm</x:v>
      </x:c>
      <x:c r="E48" s="315" t="str">
        <x:v>Identified; no new outreach established</x:v>
      </x:c>
      <x:c r="F48" s="319" t="str">
        <x:v>Access and Sampling • row 12</x:v>
      </x:c>
      <x:c r="G48" s="315" t="str">
        <x:v>https://github.com/diic-starlink/performance-insights-into-starlink</x:v>
      </x:c>
      <x:c r="H48" s="315" t="str">
        <x:v>Repository checked 15 Sep; includes ping/traceroute/HTTP/TLS/disconnect tooling. Public code is not proof that every historical file is immediately downloadable.</x:v>
      </x:c>
    </x:row>
    <x:row r="49" ht="94" customHeight="1">
      <x:c r="A49" s="311" t="str">
        <x:v>AR-02</x:v>
      </x:c>
      <x:c r="B49" s="339" t="str">
        <x:v>Argentina / Chile — Tucumán Space Weather Center — ACVID / TEC</x:v>
      </x:c>
      <x:c r="C49" s="311" t="str">
        <x:v>Environmental / ionospheric</x:v>
      </x:c>
      <x:c r="D49" s="311" t="str">
        <x:v>Public interactive catalog; numerical export/terms to inspect</x:v>
      </x:c>
      <x:c r="E49" s="311" t="str">
        <x:v>Identified; no new outreach established</x:v>
      </x:c>
      <x:c r="F49" s="320" t="str">
        <x:v>Access and Sampling • row 19</x:v>
      </x:c>
      <x:c r="G49" s="311" t="str">
        <x:v>https://spaceweather.facet.unt.edu.ar/ionoagram-database/</x:v>
      </x:c>
      <x:c r="H49" s="311" t="str">
        <x:v>Catalog checked 15 Sep; Argentine calibrated TEC and Argentine-Chilean validated ionosonde database described. Not network latency.</x:v>
      </x:c>
    </x:row>
    <x:row r="50" ht="94" customHeight="1">
      <x:c r="A50" s="315" t="str">
        <x:v>AQ-03</x:v>
      </x:c>
      <x:c r="B50" s="339" t="str">
        <x:v>Antarctica / Japan — NICT — Syowa ionosonde archive</x:v>
      </x:c>
      <x:c r="C50" s="315" t="str">
        <x:v>Environmental / ionospheric</x:v>
      </x:c>
      <x:c r="D50" s="315" t="str">
        <x:v>Public archive and text-product links</x:v>
      </x:c>
      <x:c r="E50" s="315" t="str">
        <x:v>Identified; no new outreach established</x:v>
      </x:c>
      <x:c r="F50" s="319" t="str">
        <x:v>Access and Sampling • row 26</x:v>
      </x:c>
      <x:c r="G50" s="315" t="str">
        <x:v>https://wdc.nict.go.jp/Ionosphere/en/archive/</x:v>
      </x:c>
      <x:c r="H50" s="315" t="str">
        <x:v>Archive checked 15 Sep; exact Syowa file coverage/cadence to inspect. Does not add a second NICT reply.</x:v>
      </x:c>
    </x:row>
    <x:row r="51" ht="94" customHeight="1">
      <x:c r="A51" s="311" t="str">
        <x:v>AQ-04</x:v>
      </x:c>
      <x:c r="B51" s="339" t="str">
        <x:v>Antarctica / Australia — ASWFC — Casey / Mawson / Davis</x:v>
      </x:c>
      <x:c r="C51" s="311" t="str">
        <x:v>Environmental / ionospheric</x:v>
      </x:c>
      <x:c r="D51" s="311" t="str">
        <x:v>Public catalog and HTTPS download route</x:v>
      </x:c>
      <x:c r="E51" s="311" t="str">
        <x:v>Identified; no new outreach established</x:v>
      </x:c>
      <x:c r="F51" s="320" t="str">
        <x:v>Access and Sampling • row 33</x:v>
      </x:c>
      <x:c r="G51" s="311" t="str">
        <x:v>https://www.sws.bom.gov.au/World_Data_Centre/2/2</x:v>
      </x:c>
      <x:c r="H51" s="311" t="str">
        <x:v>Catalog checked 15 Sep. Historical station operation dates do not imply uninterrupted data coverage.</x:v>
      </x:c>
    </x:row>
    <x:row r="52" ht="94" customHeight="1">
      <x:c r="A52" s="315" t="str">
        <x:v>AQ-05</x:v>
      </x:c>
      <x:c r="B52" s="339" t="str">
        <x:v>Polar / UK — BAS — SuperDARN</x:v>
      </x:c>
      <x:c r="C52" s="315" t="str">
        <x:v>Environmental / radar</x:v>
      </x:c>
      <x:c r="D52" s="315" t="str">
        <x:v>Project lead; automated page check blocked</x:v>
      </x:c>
      <x:c r="E52" s="315" t="str">
        <x:v>Identified; no new outreach established</x:v>
      </x:c>
      <x:c r="F52" s="319" t="str">
        <x:v>Access and Sampling • row 40</x:v>
      </x:c>
      <x:c r="G52" s="315" t="str">
        <x:v>https://www.bas.ac.uk/project/superdarn/</x:v>
      </x:c>
      <x:c r="H52" s="315" t="str">
        <x:v>Prior thread research lead. 15 Sep check encountered browser verification; no bypass, data retrieval or public-download guarantee.</x:v>
      </x:c>
    </x:row>
    <x:row r="53" ht="94" customHeight="1">
      <x:c r="A53" s="311" t="str">
        <x:v>LK-02</x:v>
      </x:c>
      <x:c r="B53" s="339" t="str">
        <x:v>Sri Lanka — IGS — SGOC00LKA, Colombo</x:v>
      </x:c>
      <x:c r="C53" s="311" t="str">
        <x:v>GNSS observations / environmental derivation</x:v>
      </x:c>
      <x:c r="D53" s="311" t="str">
        <x:v>Public station metadata; data-center login may apply</x:v>
      </x:c>
      <x:c r="E53" s="311" t="str">
        <x:v>Identified; no new outreach established</x:v>
      </x:c>
      <x:c r="F53" s="320" t="str">
        <x:v>Access and Sampling • row 47</x:v>
      </x:c>
      <x:c r="G53" s="311" t="str">
        <x:v>https://network.igs.org/SGOC00LKA</x:v>
      </x:c>
      <x:c r="H53" s="311" t="str">
        <x:v>Station page checked 15 Sep. RINEX requires processing to derive TEC; not direct RTT or uptime.</x:v>
      </x:c>
    </x:row>
    <x:row r="54" ht="94" customHeight="1">
      <x:c r="A54" s="315" t="str">
        <x:v>IN-03</x:v>
      </x:c>
      <x:c r="B54" s="339" t="str">
        <x:v>India / Antarctic programs — NCPOR — Polar data archive</x:v>
      </x:c>
      <x:c r="C54" s="315" t="str">
        <x:v>Environmental / ionosonde, riometer, GPS</x:v>
      </x:c>
      <x:c r="D54" s="315" t="str">
        <x:v>Mixed public download and Request Data</x:v>
      </x:c>
      <x:c r="E54" s="315" t="str">
        <x:v>Identified; no new outreach established</x:v>
      </x:c>
      <x:c r="F54" s="319" t="str">
        <x:v>Access and Sampling • row 54</x:v>
      </x:c>
      <x:c r="G54" s="315" t="str">
        <x:v>https://data.ncpor.res.in/newhtml/</x:v>
      </x:c>
      <x:c r="H54" s="315" t="str">
        <x:v>Catalog checked 15 Sep. Do not generalize one product's access to all products or assume unrestricted redistribution.</x:v>
      </x:c>
    </x:row>
    <x:row r="55" ht="94" customHeight="1">
      <x:c r="A55" s="311" t="str">
        <x:v>BD-03</x:v>
      </x:c>
      <x:c r="B55" s="339" t="str">
        <x:v>Bangladesh — EarthScope / UNAVCO — GNSS station data</x:v>
      </x:c>
      <x:c r="C55" s="311" t="str">
        <x:v>GNSS observations / environmental derivation</x:v>
      </x:c>
      <x:c r="D55" s="311" t="str">
        <x:v>Repository lead; account/file access to confirm</x:v>
      </x:c>
      <x:c r="E55" s="311" t="str">
        <x:v>Identified; no new outreach established</x:v>
      </x:c>
      <x:c r="F55" s="320" t="str">
        <x:v>Access and Sampling • row 61</x:v>
      </x:c>
      <x:c r="G55" s="311" t="str">
        <x:v>https://www.unavco.org/data/doi/10.7283/T5GH9GRD</x:v>
      </x:c>
      <x:c r="H55" s="311" t="str">
        <x:v>Carried from prior conversation; exact station/interval access not rechecked this update. Not direct communications latency.</x:v>
      </x:c>
    </x:row>
    <x:row r="56" ht="94" customHeight="1">
      <x:c r="A56" s="315" t="str">
        <x:v>ISL-02</x:v>
      </x:c>
      <x:c r="B56" s="339" t="str">
        <x:v>Australian Christmas Island — IGS — XMIS00AUS</x:v>
      </x:c>
      <x:c r="C56" s="315" t="str">
        <x:v>GNSS observations</x:v>
      </x:c>
      <x:c r="D56" s="315" t="str">
        <x:v>Public station metadata; data-center login may apply</x:v>
      </x:c>
      <x:c r="E56" s="315" t="str">
        <x:v>Identified; no new outreach established</x:v>
      </x:c>
      <x:c r="F56" s="319" t="str">
        <x:v>Access and Sampling • row 68</x:v>
      </x:c>
      <x:c r="G56" s="315" t="str">
        <x:v>https://network.igs.org/XMIS00AUS</x:v>
      </x:c>
      <x:c r="H56" s="315" t="str">
        <x:v>Station page checked 15 Sep. This is Australian Christmas Island, not Kiritimati/Kiribati.</x:v>
      </x:c>
    </x:row>
    <x:row r="57" ht="94" customHeight="1">
      <x:c r="A57" s="311" t="str">
        <x:v>ISL-03</x:v>
      </x:c>
      <x:c r="B57" s="339" t="str">
        <x:v>Ascension Island — IGS — ASCG00SHN</x:v>
      </x:c>
      <x:c r="C57" s="311" t="str">
        <x:v>GNSS observations</x:v>
      </x:c>
      <x:c r="D57" s="311" t="str">
        <x:v>Public station metadata; data-center login may apply</x:v>
      </x:c>
      <x:c r="E57" s="311" t="str">
        <x:v>Identified; no new outreach established</x:v>
      </x:c>
      <x:c r="F57" s="320" t="str">
        <x:v>Access and Sampling • row 75</x:v>
      </x:c>
      <x:c r="G57" s="311" t="str">
        <x:v>https://network.igs.org/ASCG00SHN</x:v>
      </x:c>
      <x:c r="H57" s="311" t="str">
        <x:v>Station page checked 15 Sep; derived ionospheric/geodetic evidence, not measured network service availability.</x:v>
      </x:c>
    </x:row>
    <x:row r="58" ht="94" customHeight="1">
      <x:c r="A58" s="315" t="str">
        <x:v>ISL-04</x:v>
      </x:c>
      <x:c r="B58" s="339" t="str">
        <x:v>Diego Garcia / Cocos / Port Blair — GNSS study and Geoscience Australia data route</x:v>
      </x:c>
      <x:c r="C58" s="315" t="str">
        <x:v>GNSS / ionospheric study</x:v>
      </x:c>
      <x:c r="D58" s="315" t="str">
        <x:v>Published study lead; exact data endpoint to confirm</x:v>
      </x:c>
      <x:c r="E58" s="315" t="str">
        <x:v>Identified; no new outreach established</x:v>
      </x:c>
      <x:c r="F58" s="319" t="str">
        <x:v>Access and Sampling • row 82</x:v>
      </x:c>
      <x:c r="G58" s="315" t="str">
        <x:v>https://doi.org/10.1029/2024JA033520</x:v>
      </x:c>
      <x:c r="H58" s="315" t="str">
        <x:v>Carried from prior conversation; numerical sample not inspected. Do not infer restricted facility/network data access from public GNSS observations.</x:v>
      </x:c>
    </x:row>
    <x:row r="59" ht="94" customHeight="1">
      <x:c r="A59" s="311" t="str">
        <x:v>POL-01</x:v>
      </x:c>
      <x:c r="B59" s="339" t="str">
        <x:v>Norway / Svalbard / EISCAT — EISCAT portal</x:v>
      </x:c>
      <x:c r="C59" s="311" t="str">
        <x:v>Environmental / ionospheric radar</x:v>
      </x:c>
      <x:c r="D59" s="311" t="str">
        <x:v>Registration / virtual-organization membership</x:v>
      </x:c>
      <x:c r="E59" s="311" t="str">
        <x:v>Identified; no new outreach established</x:v>
      </x:c>
      <x:c r="F59" s="320" t="str">
        <x:v>Access and Sampling • row 89</x:v>
      </x:c>
      <x:c r="G59" s="311" t="str">
        <x:v>https://portal.eiscat.se/</x:v>
      </x:c>
      <x:c r="H59" s="311" t="str">
        <x:v>Portal checked 15 Sep; registration is not a claim of dataset delivery or commercial reuse rights.</x:v>
      </x:c>
    </x:row>
    <x:row r="60" ht="94" customHeight="1">
      <x:c r="A60" s="315" t="str">
        <x:v>MX-02</x:v>
      </x:c>
      <x:c r="B60" s="339" t="str">
        <x:v>Mexico — UNAM — Mexican GNSS/TEC Zenodo record</x:v>
      </x:c>
      <x:c r="C60" s="315" t="str">
        <x:v>Environmental / GNSS-derived</x:v>
      </x:c>
      <x:c r="D60" s="315" t="str">
        <x:v>Prior public-repository lead; check rate-limited</x:v>
      </x:c>
      <x:c r="E60" s="315" t="str">
        <x:v>Identified; no new outreach established</x:v>
      </x:c>
      <x:c r="F60" s="319" t="str">
        <x:v>Access and Sampling • row 96</x:v>
      </x:c>
      <x:c r="G60" s="315" t="str">
        <x:v>https://zenodo.org/records/8412734</x:v>
      </x:c>
      <x:c r="H60" s="315" t="str">
        <x:v>15 Sep metadata request returned HTTP 429. This is a retrieval limit, not proof the data are restricted or unavailable.</x:v>
      </x:c>
    </x:row>
    <x:row r="61">
      <x:c r="A61" t="str">
        <x:v>INT-56</x:v>
      </x:c>
      <x:c r="B61" t="str">
        <x:v>Chile — CINC / Universidad Adventista de Chile</x:v>
      </x:c>
      <x:c r="C61" t="str">
        <x:v>Environmental / ionospheric disturbance inputs; Concepción→Chillán lineage plus La Serena and King George Island, Antarctica. TEC event-specific.</x:v>
      </x:c>
      <x:c r="D61" t="str">
        <x:v>Custodian delivered numerical .DAT samples; schema/cadence inspected</x:v>
      </x:c>
      <x:c r="E61" t="str">
        <x:v>Responded + data delivered 21 Sep 2026 — willing to collaborate</x:v>
      </x:c>
      <x:c r="F61" t="str">
        <x:v>Dr. Manuel Alejandro Bravo Sepúlveda • KGI: 1,232 daily files / 33,960 obs / hourly (1986–1991); Chillán: 25 daily files / 2,518 obs / ~15-min (Dec 2020)</x:v>
      </x:c>
      <x:c r="G61" t="str">
        <x:v>http://www.meteorologiaespacial.cl/</x:v>
      </x:c>
      <x:c r="H61" t="str">
        <x:v>BLUE priority. Readiness 3 — numerical samples inspected. Candidate variables: Chillán foF/hmF2/TEC; KGI foF/hF/M(3000)F. Preserve station/instrument/cadence; environmental state only, not network outage.</x:v>
      </x:c>
    </x:row>
    <x:row r="62">
      <x:c r="A62" t="str">
        <x:v>INT-57</x:v>
      </x:c>
      <x:c r="B62" t="str">
        <x:v>Argentina / Patagonia — Instituto Balseiro / CNEA — Pablo Costanzo Caso</x:v>
      </x:c>
      <x:c r="C62" t="str">
        <x:v>Potential future direct VHF/UHF ground-station communications measurements; no current data package</x:v>
      </x:c>
      <x:c r="D62" t="str">
        <x:v>No existing requested dataset. Historical station operated &gt;3 years but was dismantled for lack of funding; future measurement campaign would require funding.</x:v>
      </x:c>
      <x:c r="E62" t="str">
        <x:v>RESPONDED 22 Sep 2026 — collaboration offered if funded</x:v>
      </x:c>
      <x:c r="F62" t="str">
        <x:v>Dr. Pablo Costanzo Caso • asks which specific measurements/parameters would be desired from Argentina</x:v>
      </x:c>
      <x:c r="G62"/>
      <x:c r="H62" t="str">
        <x:v>GRAY / collaboration lead. Readiness 1 — contact/source confirmed, but no current numerical dataset or archive. Do not count historical station operation as available data.</x:v>
      </x:c>
    </x:row>
    <x:row r="63">
      <x:c r="A63" t="str">
        <x:v>INT-AU-ACCC</x:v>
      </x:c>
      <x:c r="B63" t="str">
        <x:v>Australia — ACCC / Measuring Broadband Australia</x:v>
      </x:c>
      <x:c r="C63" t="str">
        <x:v>Direct network / Starlink broadband performance; historical validation source</x:v>
      </x:c>
      <x:c r="D63" t="str">
        <x:v>Public historical datasets on data.gov.au; no special research-use conditions beyond attribution</x:v>
      </x:c>
      <x:c r="E63" t="str">
        <x:v>RESPONDED 23 Sep 2026 — Broadband Performance Team</x:v>
      </x:c>
      <x:c r="F63" t="str">
        <x:v>Search data.gov.au for 'Measuring Broadband Australia'; inspect Starlink-containing releases for latency, throughput, packet loss, outage metrics and temporal granularity</x:v>
      </x:c>
      <x:c r="G63" t="str">
        <x:v>https://data.gov.au/</x:v>
      </x:c>
      <x:c r="H63" t="str">
        <x:v>GREEN direct-network candidate. Readiness 2 — provider-confirmed access/use route; not Readiness 3 until a numerical Starlink release is inspected. Program ended Jun 2026, so finite/static historical source.</x:v>
      </x:c>
    </x:row>
  </x:sheetData>
  <x:mergeCells>
    <x:mergeCell ref="A1:H1"/>
    <x:mergeCell ref="A2:H3"/>
    <x:mergeCell ref="A2:H2"/>
  </x:mergeCells>
  <x:pageMargins left="0.7" right="0.7" top="0.75" bottom="0.75" header="0.3" footer="0.3"/>
  <x:tableParts count="1">
    <x:tablePart xmlns:r="http://schemas.openxmlformats.org/officeDocument/2006/relationships" r:id="R4549e434082d4bce"/>
  </x:tableParts>
</x:worksheet>
</file>

<file path=xl/worksheets/sheet24.xml><?xml version="1.0" encoding="utf-8"?>
<x:worksheet xmlns:x="http://schemas.openxmlformats.org/spreadsheetml/2006/main">
  <x:sheetFormatPr defaultRowHeight="15"/>
  <x:cols>
    <x:col min="1" max="1" width="14" hidden="0" customWidth="1"/>
    <x:col min="2" max="2" width="25" hidden="0" customWidth="1"/>
    <x:col min="3" max="3" width="38" hidden="0" customWidth="1"/>
    <x:col min="4" max="4" width="43" hidden="0" customWidth="1"/>
    <x:col min="5" max="5" width="70" hidden="0" customWidth="1"/>
    <x:col min="6" max="6" width="69" hidden="0" customWidth="1"/>
  </x:cols>
  <x:sheetData>
    <x:row r="1" ht="30" customHeight="1">
      <x:c r="A1" s="304" t="str">
        <x:v>Workbook Update Audit — 15 September 2026</x:v>
      </x:c>
      <x:c r="B1" s="304"/>
      <x:c r="C1" s="304"/>
      <x:c r="D1" s="304"/>
      <x:c r="E1" s="304"/>
      <x:c r="F1" s="304"/>
    </x:row>
    <x:row r="2" ht="28" customHeight="1">
      <x:c r="A2" s="307" t="str">
        <x:v>Source-derived records, discovery leads and current access checks remain distinguishable. Original source files are not overwritten.</x:v>
      </x:c>
      <x:c r="B2" s="307"/>
      <x:c r="C2" s="307"/>
      <x:c r="D2" s="307"/>
      <x:c r="E2" s="307"/>
      <x:c r="F2" s="307"/>
    </x:row>
    <x:row r="3">
      <x:c r="A3" s="307"/>
      <x:c r="B3" s="307"/>
      <x:c r="C3" s="307"/>
      <x:c r="D3" s="307"/>
      <x:c r="E3" s="307"/>
      <x:c r="F3" s="307"/>
    </x:row>
    <x:row r="4">
      <x:c r="A4" s="112"/>
      <x:c r="B4" s="112"/>
      <x:c r="C4" s="112"/>
      <x:c r="D4" s="112"/>
      <x:c r="E4" s="112"/>
      <x:c r="F4" s="112"/>
    </x:row>
    <x:row r="5" ht="36" customHeight="1">
      <x:c r="A5" s="318" t="str">
        <x:v>Date</x:v>
      </x:c>
      <x:c r="B5" s="318" t="str">
        <x:v>Area</x:v>
      </x:c>
      <x:c r="C5" s="318" t="str">
        <x:v>Before</x:v>
      </x:c>
      <x:c r="D5" s="318" t="str">
        <x:v>After</x:v>
      </x:c>
      <x:c r="E5" s="318" t="str">
        <x:v>Evidence / work performed</x:v>
      </x:c>
      <x:c r="F5" s="318" t="str">
        <x:v>Limits</x:v>
      </x:c>
    </x:row>
    <x:row r="6" ht="72" customHeight="1">
      <x:c r="A6" s="326" t="n">
        <x:v>46280</x:v>
      </x:c>
      <x:c r="B6" s="315" t="str">
        <x:v>Baseline</x:v>
      </x:c>
      <x:c r="C6" s="315" t="str">
        <x:v>v09_Remote_Sources</x:v>
      </x:c>
      <x:c r="D6" s="315" t="str">
        <x:v>v10 International/Domestic</x:v>
      </x:c>
      <x:c r="E6" s="315" t="str">
        <x:v>Retained all 20 original worksheets; selected current metadata/status cells updated.</x:v>
      </x:c>
      <x:c r="F6" s="315" t="str">
        <x:v>No full-inbox audit; no emails sent; no scientific datasets downloaded.</x:v>
      </x:c>
    </x:row>
    <x:row r="7" ht="72" customHeight="1">
      <x:c r="A7" s="327" t="n">
        <x:v>46280</x:v>
      </x:c>
      <x:c r="B7" s="311" t="str">
        <x:v>Domestic directory</x:v>
      </x:c>
      <x:c r="C7" s="311" t="str">
        <x:v>Contacts dispersed in conversation</x:v>
      </x:c>
      <x:c r="D7" s="311" t="str">
        <x:v>8 contact cards</x:v>
      </x:c>
      <x:c r="E7" s="311" t="str">
        <x:v>NASA SCaN; NASA/JPL; NOAA SWPC; NCEI space weather; NCEI past weather; RAND; CelesTrak; AFRL/SCINDA.</x:v>
      </x:c>
      <x:c r="F7" s="311" t="str">
        <x:v>Selected primary contact pages rechecked; sending and deliverability not established.</x:v>
      </x:c>
    </x:row>
    <x:row r="8" ht="72" customHeight="1">
      <x:c r="A8" s="326" t="n">
        <x:v>46280</x:v>
      </x:c>
      <x:c r="B8" s="315" t="str">
        <x:v>Source directory</x:v>
      </x:c>
      <x:c r="C8" s="315" t="str">
        <x:v>Separate original, expansion and remote tabs</x:v>
      </x:c>
      <x:c r="D8" s="315" t="str">
        <x:v>55 source routes indexed</x:v>
      </x:c>
      <x:c r="E8" s="315" t="str">
        <x:v>13 original + 6 expansion + 14 nonduplicate remote + 8 domestic + 14 access additions.</x:v>
      </x:c>
      <x:c r="F8" s="315" t="str">
        <x:v>Route count is not unique institution, country, independent-dataset or reply count.</x:v>
      </x:c>
    </x:row>
    <x:row r="9" ht="72" customHeight="1">
      <x:c r="A9" s="327" t="n">
        <x:v>46280</x:v>
      </x:c>
      <x:c r="B9" s="311" t="str">
        <x:v>Access and sampling</x:v>
      </x:c>
      <x:c r="C9" s="311" t="str">
        <x:v>Access conditions dispersed in messages</x:v>
      </x:c>
      <x:c r="D9" s="311" t="str">
        <x:v>14 additional cards</x:v>
      </x:c>
      <x:c r="E9" s="311" t="str">
        <x:v>Global Starlink; polar/Antarctic; Argentina; Sri Lanka; India; Bangladesh; remote islands; Mexico.</x:v>
      </x:c>
      <x:c r="F9" s="311" t="str">
        <x:v>Open metadata/public code does not establish a numerical file download or unrestricted reuse.</x:v>
      </x:c>
    </x:row>
    <x:row r="10" ht="72" customHeight="1">
      <x:c r="A10" s="326" t="n">
        <x:v>46280</x:v>
      </x:c>
      <x:c r="B10" s="315" t="str">
        <x:v>Canada</x:v>
      </x:c>
      <x:c r="C10" s="315" t="str">
        <x:v>Researcher clarification pending</x:v>
      </x:c>
      <x:c r="D10" s="315" t="str">
        <x:v>Unchanged reply status; public repository added</x:v>
      </x:c>
      <x:c r="E10" s="315" t="str">
        <x:v>LENS public GitHub located independently.</x:v>
      </x:c>
      <x:c r="F10" s="315" t="str">
        <x:v>Do not record that Pan or Zhao supplied a new dataset or replied again.</x:v>
      </x:c>
    </x:row>
    <x:row r="11" ht="72" customHeight="1">
      <x:c r="A11" s="327" t="n">
        <x:v>46280</x:v>
      </x:c>
      <x:c r="B11" s="311" t="str">
        <x:v>SANSA relationship</x:v>
      </x:c>
      <x:c r="C11" s="311" t="str">
        <x:v>Email contacts already recorded</x:v>
      </x:c>
      <x:c r="D11" s="311" t="str">
        <x:v>LinkedIn connection accepted; she/her correction</x:v>
      </x:c>
      <x:c r="E11" s="311" t="str">
        <x:v>User screenshots 1000717546.jpg and 1000717548.jpg.</x:v>
      </x:c>
      <x:c r="F11" s="311" t="str">
        <x:v>No new research data or extra substantive-country reply counted.</x:v>
      </x:c>
    </x:row>
    <x:row r="12" ht="72" customHeight="1">
      <x:c r="A12" s="326" t="n">
        <x:v>46280</x:v>
      </x:c>
      <x:c r="B12" s="315" t="str">
        <x:v>Citation pairing</x:v>
      </x:c>
      <x:c r="C12" s="315" t="str">
        <x:v>Screenshot intake already retained here</x:v>
      </x:c>
      <x:c r="D12" s="315" t="str">
        <x:v>Added to paired master citation workbook</x:v>
      </x:c>
      <x:c r="E12" s="315" t="str">
        <x:v>All 21 exact screenshot entries retained; 15 candidate works and 6 journal source pools.</x:v>
      </x:c>
      <x:c r="F12" s="315" t="str">
        <x:v>No silent substitution for unverified RAND/NASA/etc titles.</x:v>
      </x:c>
    </x:row>
    <x:row r="13" ht="72" customHeight="1">
      <x:c r="A13" s="327" t="n">
        <x:v>46280</x:v>
      </x:c>
      <x:c r="B13" s="311" t="str">
        <x:v>AFRL access</x:v>
      </x:c>
      <x:c r="C13" s="311" t="str">
        <x:v>Public portal/routing discussion</x:v>
      </x:c>
      <x:c r="D13" s="311" t="str">
        <x:v>Authorized-use hold</x:v>
      </x:c>
      <x:c r="E13" s="311" t="str">
        <x:v>Public landing-page names retained; legacy Caton address flagged; BC access contact recorded.</x:v>
      </x:c>
      <x:c r="F13" s="311" t="str">
        <x:v>Public academic reuse must be established; no restricted files accessed.</x:v>
      </x:c>
    </x:row>
    <x:row r="14" ht="72" customHeight="1">
      <x:c r="A14" s="326" t="n">
        <x:v>46280</x:v>
      </x:c>
      <x:c r="B14" s="315" t="str">
        <x:v>Reference control</x:v>
      </x:c>
      <x:c r="C14" s="315" t="str">
        <x:v>Original scores and matrix</x:v>
      </x:c>
      <x:c r="D14" s="315" t="str">
        <x:v>Unchanged</x:v>
      </x:c>
      <x:c r="E14" s="315" t="str">
        <x:v>Master research rows and hybrid formulas preserved; new references stay in separate tabs.</x:v>
      </x:c>
      <x:c r="F14" s="315" t="str">
        <x:v>17 supplemental research-artifact records are not 17 new completed readings.</x:v>
      </x:c>
    </x:row>
    <x:row r="15" ht="72" customHeight="1">
      <x:c r="A15" s="327" t="n">
        <x:v>46280</x:v>
      </x:c>
      <x:c r="B15" s="311" t="str">
        <x:v>Artifacts</x:v>
      </x:c>
      <x:c r="C15" s="311" t="str">
        <x:v>Original workbooks</x:v>
      </x:c>
      <x:c r="D15" s="311" t="str">
        <x:v>New dated versions</x:v>
      </x:c>
      <x:c r="E15" s="311" t="str">
        <x:v>No slide deck, calendar, or cloud original was modified.</x:v>
      </x:c>
      <x:c r="F15" s="311" t="str">
        <x:v>Deliver two XLSX files only.</x:v>
      </x:c>
    </x:row>
    <x:row r="16" ht="58" customHeight="1">
      <x:c r="A16" s="357" t="str">
        <x:v>2026-09-15</x:v>
      </x:c>
      <x:c r="B16" s="357" t="str">
        <x:v>NCEI</x:v>
      </x:c>
      <x:c r="C16" s="357" t="str">
        <x:v>Contact route only</x:v>
      </x:c>
      <x:c r="D16" s="357" t="str">
        <x:v>Responded / environment only</x:v>
      </x:c>
      <x:c r="E16" s="357" t="str">
        <x:v>Reply evidence from user screenshots; original RFI verified in NAC.</x:v>
      </x:c>
      <x:c r="F16" s="357" t="str">
        <x:v>Do not label forwarded request as Josh reply.</x:v>
      </x:c>
    </x:row>
    <x:row r="17" ht="58" customHeight="1">
      <x:c r="A17" s="357" t="str">
        <x:v>2026-09-15</x:v>
      </x:c>
      <x:c r="B17" s="357" t="str">
        <x:v>Data triage</x:v>
      </x:c>
      <x:c r="C17" s="357" t="str">
        <x:v>55 routes</x:v>
      </x:c>
      <x:c r="D17" s="357" t="str">
        <x:v>55 routes +8 product/method cards</x:v>
      </x:c>
      <x:c r="E17" s="357" t="str">
        <x:v>Use tiers and evidence levels added; original history retained.</x:v>
      </x:c>
      <x:c r="F17" s="357" t="str">
        <x:v>No sample adoption or H1 results claimed.</x:v>
      </x:c>
    </x:row>
    <x:row r="18" ht="58" customHeight="1">
      <x:c r="A18" s="357" t="str">
        <x:v>2026-09-15</x:v>
      </x:c>
      <x:c r="B18" s="357" t="str">
        <x:v>URL checks</x:v>
      </x:c>
      <x:c r="C18" s="357" t="str">
        <x:v>Unscored locators</x:v>
      </x:c>
      <x:c r="D18" s="357" t="str">
        <x:v>80 browser checks</x:v>
      </x:c>
      <x:c r="E18" s="357" t="str">
        <x:v>Untested, dynamic, restricted and tool-unresolved results separated.</x:v>
      </x:c>
      <x:c r="F18" s="357" t="str">
        <x:v>See Link Checks for exact evidence.</x:v>
      </x:c>
    </x:row>
    <x:row r="19" ht="58" customHeight="1">
      <x:c r="A19" s="357" t="str">
        <x:v>2026-09-15</x:v>
      </x:c>
      <x:c r="B19" s="357" t="str">
        <x:v>Scope</x:v>
      </x:c>
      <x:c r="C19" s="357" t="str">
        <x:v>Research-model source update</x:v>
      </x:c>
      <x:c r="D19" s="357" t="str">
        <x:v>No email or slide edits</x:v>
      </x:c>
      <x:c r="E19" s="357" t="str">
        <x:v>No calendar/automation modified; no numerical data import completed.</x:v>
      </x:c>
      <x:c r="F19" s="357" t="str">
        <x:v>Preserve original literature/hybrid scores.</x:v>
      </x:c>
    </x:row>
    <x:row r="20">
      <x:c r="A20" s="93" t="str">
        <x:v>2026-09-15</x:v>
      </x:c>
      <x:c r="B20" s="93" t="str">
        <x:v>NCEI follow-up</x:v>
      </x:c>
      <x:c r="C20" s="93" t="str">
        <x:v>Scope-only reply</x:v>
      </x:c>
      <x:c r="D20" s="93" t="str">
        <x:v>Specific product recommendations</x:v>
      </x:c>
      <x:c r="E20" s="93" t="str">
        <x:v>Josh Riley recommends EXIS XRS/EUVS 1-minute, GloTEC, ionosonde, Event Reports and SGAS.</x:v>
      </x:c>
      <x:c r="F20" s="93" t="str">
        <x:v>Still environmental/event context; no direct network-performance records supplied.</x:v>
      </x:c>
    </x:row>
    <x:row r="21">
      <x:c r="A21" s="93" t="str">
        <x:v>2026-09-15</x:v>
      </x:c>
      <x:c r="B21" s="93" t="str">
        <x:v>Verification pass 2</x:v>
      </x:c>
      <x:c r="C21" s="93" t="str">
        <x:v>Product pages only</x:v>
      </x:c>
      <x:c r="D21" s="93" t="str">
        <x:v>Six additional NCEI/SWPC routes checked</x:v>
      </x:c>
      <x:c r="E21" s="93" t="str">
        <x:v>GloTEC, Mirrion, Event Reports, SGAS, SWPC homepage and GOES-18 XRS direct directory.</x:v>
      </x:c>
      <x:c r="F21" s="93" t="str">
        <x:v>No numerical file advanced to evidence stage 3; GloTEC portal is dynamic and some Mirrion child links are stale.</x:v>
      </x:c>
    </x:row>
    <x:row r="22">
      <x:c r="A22" s="44" t="n">
        <x:v>46286</x:v>
      </x:c>
      <x:c r="B22" t="str">
        <x:v>Chile / CINC</x:v>
      </x:c>
      <x:c r="C22" t="str">
        <x:v>Readiness 2 / sample pending</x:v>
      </x:c>
      <x:c r="D22" t="str">
        <x:v>Numerical .DAT packages received and inspected; BLUE priority promoted to Readiness 3</x:v>
      </x:c>
      <x:c r="E22" t="str">
        <x:v>Bravo delivered KGI.zip and Chillán sample ZIP. KGI: 1,232 daily files, 1986-03-01–1991-12-31, 33,960 obs, typically hourly; foF/hF/M(3000)F populated. Chillán: 25 daily files, 2020-12-04–2020-12-31, 2,518 obs, typically 15-min; foF/hF plus hmF2/TEC populated. Machine-readable records include field/qualifier definitions.</x:v>
      </x:c>
      <x:c r="F22" t="str">
        <x:v>Next: normalize selected variables/QC; verify units, missing semantics, bulk archive path, citation/licensing; no direct network-performance/outage claim.</x:v>
      </x:c>
    </x:row>
  </x:sheetData>
  <x:mergeCells>
    <x:mergeCell ref="A1:F1"/>
    <x:mergeCell ref="A2:F3"/>
  </x:mergeCells>
  <x:pageMargins left="0.7" right="0.7" top="0.75" bottom="0.75" header="0.3" footer="0.3"/>
  <x:tableParts count="1">
    <x:tablePart xmlns:r="http://schemas.openxmlformats.org/officeDocument/2006/relationships" r:id="R72140e9ceb6d482f"/>
  </x:tableParts>
</x:worksheet>
</file>

<file path=xl/worksheets/sheet25.xml><?xml version="1.0" encoding="utf-8"?>
<x:worksheet xmlns:x="http://schemas.openxmlformats.org/spreadsheetml/2006/main">
  <x:sheetFormatPr defaultRowHeight="15"/>
  <x:cols>
    <x:col min="1" max="1" width="28" hidden="0" customWidth="1"/>
    <x:col min="2" max="2" width="105" hidden="0" customWidth="1"/>
  </x:cols>
  <x:sheetData>
    <x:row r="1" ht="30" customHeight="1">
      <x:c r="A1" s="329" t="str">
        <x:v>NCEI — RESPONSE &amp; SOURCE BOUNDARY</x:v>
      </x:c>
      <x:c r="B1" s="329"/>
    </x:row>
    <x:row r="2" ht="42" customHeight="1">
      <x:c r="A2" s="332" t="str">
        <x:v>Evidence: user screenshots + independently read NAC forward. No messages sent or label changes.</x:v>
      </x:c>
      <x:c r="B2" s="332"/>
    </x:row>
    <x:row r="4" ht="30" customHeight="1">
      <x:c r="A4" s="334" t="str">
        <x:v>Field</x:v>
      </x:c>
      <x:c r="B4" s="334" t="str">
        <x:v>Record</x:v>
      </x:c>
    </x:row>
    <x:row r="5" ht="62" customHeight="1">
      <x:c r="A5" s="337" t="str">
        <x:v>Received / evidence</x:v>
      </x:c>
      <x:c r="B5" s="337" t="str">
        <x:v>15 Sep 2026. Josh reply shown at 13:00 in user school-mail screenshots; NAC forward arrived 13:06:48 Pacific and contains the original request only.</x:v>
      </x:c>
    </x:row>
    <x:row r="6" ht="62" customHeight="1">
      <x:c r="A6" s="338" t="str">
        <x:v>Respondent</x:v>
      </x:c>
      <x:c r="B6" s="338" t="str">
        <x:v>Josh Riley. Screenshot signature is cut off; no direct email/title inferred. Routing inbox: ncei.info@noaa.gov.</x:v>
      </x:c>
    </x:row>
    <x:row r="7" ht="62" customHeight="1">
      <x:c r="A7" s="337" t="str">
        <x:v>Confirmed negative scope</x:v>
      </x:c>
      <x:c r="B7" s="337" t="str">
        <x:v>NCEI does not archive engineering-level satellite or ground-network performance records. Do not request the same latency/availability/downtime/loss/throughput/recovery/queue logs again without a distinct referral purpose.</x:v>
      </x:c>
    </x:row>
    <x:row r="8" ht="62" customHeight="1">
      <x:c r="A8" s="338" t="str">
        <x:v>Confirmed useful scope</x:v>
      </x:c>
      <x:c r="B8" s="338" t="str">
        <x:v>Scientific solar X-ray, geomagnetic and ionospheric records. Environmental/event-selection input; not direct service-performance measurements.</x:v>
      </x:c>
    </x:row>
    <x:row r="9" ht="62" customHeight="1">
      <x:c r="A9" s="337" t="str">
        <x:v>Requested by Josh</x:v>
      </x:c>
      <x:c r="B9" s="337" t="str">
        <x:v>Review the public Space Weather page and its linked Products Inventory; return with specific questions.</x:v>
      </x:c>
    </x:row>
    <x:row r="10" ht="62" customHeight="1">
      <x:c r="A10" s="338" t="str">
        <x:v>Source URL</x:v>
      </x:c>
      <x:c r="B10" s="338" t="str">
        <x:v>https://www.ncei.noaa.gov/products/space-weather</x:v>
      </x:c>
    </x:row>
    <x:row r="11" ht="62" customHeight="1">
      <x:c r="A11" s="337" t="str">
        <x:v>Inventory URL</x:v>
      </x:c>
      <x:c r="B11" s="337" t="str">
        <x:v>https://www.ncei.noaa.gov/sites/default/files/2025-08/NCEI_Space_Weather_Products.pdf</x:v>
      </x:c>
    </x:row>
    <x:row r="12" ht="62" customHeight="1">
      <x:c r="A12" s="338" t="str">
        <x:v>NAC evidence</x:v>
      </x:c>
      <x:c r="B12" s="338" t="str">
        <x:v>https://mail.google.com/mail/u/?authuser=ninoabstractconsulting%40gmail.com#all/1a0a6ae18989d6e7</x:v>
      </x:c>
    </x:row>
    <x:row r="13" ht="62" customHeight="1">
      <x:c r="A13" s="337" t="str">
        <x:v>Original request</x:v>
      </x:c>
      <x:c r="B13" s="337" t="str">
        <x:v>School email dated 14 Sep 2026 22:08 in inner headers; timezone unspecified there. Requests latency, availability, downtime/recovery, queues, packet loss and environmental archives. Methodology PPTX attached.</x:v>
      </x:c>
    </x:row>
    <x:row r="14" ht="62" customHeight="1">
      <x:c r="A14" s="338" t="str">
        <x:v>Reply evidence</x:v>
      </x:c>
      <x:c r="B14" s="338" t="str">
        <x:v>User screenshots 1000717650.jpg / 1000717651.jpg. No Josh reply Message-ID located in NAC search; do not attribute screenshots to the forwarded outbound request.</x:v>
      </x:c>
    </x:row>
    <x:row r="15" ht="62" customHeight="1">
      <x:c r="A15" s="337" t="str">
        <x:v>Open items</x:v>
      </x:c>
      <x:c r="B15" s="337" t="str">
        <x:v>GOES flare JSON/ReadMe now supplies UTC/field/missing/reuse details. Numerical sample import, other-product citations, coverage/quality checks and any engineering referral remain open.</x:v>
      </x:c>
    </x:row>
    <x:row r="16" ht="62" customHeight="1">
      <x:c r="A16" s="338" t="str">
        <x:v>Maintenance</x:v>
      </x:c>
      <x:c r="B16" s="338" t="str">
        <x:v>Public NCEI notice: 16 Sep 2026 02:00–12:00 Eastern = 15 Sep 23:00 to 16 Sep 09:00 Pacific. Check failures against this planned window; a transient outage is not a dead dataset.</x:v>
      </x:c>
    </x:row>
    <x:row r="17" ht="62" customHeight="1">
      <x:c r="A17" s="337" t="str">
        <x:v>Advisor-ready sentence</x:v>
      </x:c>
      <x:c r="B17" s="337" t="str">
        <x:v>NCEI confirmed public space-weather archives but no engineering-level network-performance records. Link and field checks now separate direct DES inputs, environmental support and unverified leads. [15 Sep 2026]</x:v>
      </x:c>
    </x:row>
    <x:row r="18" ht="64" customHeight="1">
      <x:c r="A18" s="360" t="str">
        <x:v>Independent follow-through</x:v>
      </x:c>
      <x:c r="B18" s="360" t="str">
        <x:v>15 Sep web inspection found a yearly flare CSV directory, JSON metadata, UTC/missing conventions and reusable Python examples. These were found by following Josh's link, not additional claims in his email.</x:v>
      </x:c>
    </x:row>
    <x:row r="20">
      <x:c r="A20" s="93" t="str">
        <x:v>Follow-up received</x:v>
      </x:c>
      <x:c r="B20" s="93" t="str">
        <x:v>15 Sep 2026 at 15:01 per user screenshot. This is a second substantive Josh Riley reply after the 13:00 scope response.</x:v>
      </x:c>
    </x:row>
    <x:row r="21">
      <x:c r="A21" s="93" t="str">
        <x:v>Respondent / affiliation</x:v>
      </x:c>
      <x:c r="B21" s="93" t="str">
        <x:v>Josh Riley — CIRES, University of Colorado Boulder; embedded at NOAA National Centers for Environmental Information (NCEI). No direct personal email shown.</x:v>
      </x:c>
    </x:row>
    <x:row r="22">
      <x:c r="A22" s="93" t="str">
        <x:v>Starter recommendation</x:v>
      </x:c>
      <x:c r="B22" s="93" t="str">
        <x:v>GOES-R EXIS: begin with XRS and EUVS 1-minute average products for timestamped disturbance onset. Documentation covers definitions, units, sampling intervals and quality flags.</x:v>
      </x:c>
    </x:row>
    <x:row r="23">
      <x:c r="A23" s="93" t="str">
        <x:v>Ionospheric recommendation</x:v>
      </x:c>
      <x:c r="B23" s="93" t="str">
        <x:v>GloTEC / US-TEC product family and Mirrion 2 ionosonde records for ionospheric disruption context.</x:v>
      </x:c>
    </x:row>
    <x:row r="24">
      <x:c r="A24" s="93" t="str">
        <x:v>Documented-event recommendation</x:v>
      </x:c>
      <x:c r="B24" s="93" t="str">
        <x:v>Space Weather Event Reports archive: daily product beginning 2011. Archive directory verified through 2026; current September 2026 folder is present.</x:v>
      </x:c>
    </x:row>
    <x:row r="25">
      <x:c r="A25" s="93" t="str">
        <x:v>Summary recommendation</x:v>
      </x:c>
      <x:c r="B25" s="93" t="str">
        <x:v>SWPC Solar and Geophysical Activity Summary (SGAS): daily summary of significant solar/geophysical events; SWPC describes it as including flares, proton events and geomagnetic activity. Current and previous text files are available.</x:v>
      </x:c>
    </x:row>
    <x:row r="26">
      <x:c r="A26" s="93" t="str">
        <x:v>EXIS access check</x:v>
      </x:c>
      <x:c r="B26" s="93" t="str">
        <x:v>Official EXIS page works. It exposes L1b/L2 NetCDF products and XRS/EUVS 1-minute averages. GOES-18 XRS annual directory lists a 2024 NetCDF file (~32 MB) and 2026/current files.</x:v>
      </x:c>
    </x:row>
    <x:row r="27">
      <x:c r="A27" s="93" t="str">
        <x:v>GloTEC access check</x:v>
      </x:c>
      <x:c r="B27" s="93" t="str">
        <x:v>Official TEC page works. NCEI identifies US-TEC archive 2004–2023 and GloTEC Feb 2025–present. Download link resolves to a JavaScript portal, so direct file extraction still needs an interactive/browser or alternate data route.</x:v>
      </x:c>
    </x:row>
    <x:row r="28">
      <x:c r="A28" s="93" t="str">
        <x:v>Ionosonde access check</x:v>
      </x:c>
      <x:c r="B28" s="93" t="str">
        <x:v>Mirrion 2 landing page works and describes public worldwide ionosonde soundings/MIDS. Some legacy child links tested from the page returned 404/cache errors, so use the landing page/catalog as the current anchor until an exact numeric file path is verified.</x:v>
      </x:c>
    </x:row>
    <x:row r="29">
      <x:c r="A29" s="93" t="str">
        <x:v>Research boundary</x:v>
      </x:c>
      <x:c r="B29" s="93" t="str">
        <x:v>These products characterize disturbance onset and ionospheric/solar conditions. They do NOT provide the direct satellite-network latency, uptime/downtime, packet-loss, throughput, recovery or queueing outcomes required for the DES comparison.</x:v>
      </x:c>
    </x:row>
    <x:row r="30">
      <x:c r="A30" s="93" t="str">
        <x:v>Open items</x:v>
      </x:c>
      <x:c r="B30" s="93" t="str">
        <x:v>Still open: one actual numerical sample import; exact citation/acknowledgment preference; reusable bulk/API path for GloTEC/Mirrion; and any referral to a custodian holding engineering network-performance records.</x:v>
      </x:c>
    </x:row>
    <x:row r="31">
      <x:c r="A31" s="93" t="str">
        <x:v>Next gate</x:v>
      </x:c>
      <x:c r="B31" s="93" t="str">
        <x:v>Select one disturbance interval. Import one EXIS/GloTEC/event sample, preserve UTC/units/quality flags, then pair it with an independently measured direct-network trace (LENS/WetLinks/RIPE/etc.) before any causal or outage inference.</x:v>
      </x:c>
    </x:row>
  </x:sheetData>
  <x:mergeCells>
    <x:mergeCell ref="A1:B1"/>
    <x:mergeCell ref="A2:B2"/>
  </x:mergeCells>
  <x:pageMargins left="0.7" right="0.7" top="0.75" bottom="0.75" header="0.3" footer="0.3"/>
  <x:tableParts count="1">
    <x:tablePart xmlns:r="http://schemas.openxmlformats.org/officeDocument/2006/relationships" r:id="R16a28cdf3cd34f9d"/>
  </x:tableParts>
</x:worksheet>
</file>

<file path=xl/worksheets/sheet26.xml><?xml version="1.0" encoding="utf-8"?>
<x:worksheet xmlns:x="http://schemas.openxmlformats.org/spreadsheetml/2006/main">
  <x:sheetFormatPr defaultRowHeight="15"/>
  <x:cols>
    <x:col min="1" max="1" width="12" hidden="0" customWidth="1"/>
    <x:col min="2" max="2" width="29" hidden="0" customWidth="1"/>
    <x:col min="3" max="3" width="23" hidden="0" customWidth="1"/>
    <x:col min="4" max="4" width="25" hidden="0" customWidth="1"/>
    <x:col min="5" max="5" width="58" hidden="0" customWidth="1"/>
    <x:col min="6" max="6" width="48" hidden="0" customWidth="1"/>
  </x:cols>
  <x:sheetData>
    <x:row r="1" ht="30" customHeight="1">
      <x:c r="A1" s="329" t="str">
        <x:v>DATA TRIAGE | What can support this DES?</x:v>
      </x:c>
      <x:c r="B1" s="329"/>
      <x:c r="C1" s="329"/>
      <x:c r="D1" s="329"/>
      <x:c r="E1" s="329"/>
      <x:c r="F1" s="329"/>
    </x:row>
    <x:row r="2" ht="42" customHeight="1">
      <x:c r="A2" s="332" t="str">
        <x:v>A role label is not a readiness claim. Evidence stage 2 means documentation/fields checked—not numerical sample validation. Original contact history and literature scoring are unchanged.</x:v>
      </x:c>
      <x:c r="B2" s="332"/>
      <x:c r="C2" s="332"/>
      <x:c r="D2" s="332"/>
      <x:c r="E2" s="332"/>
      <x:c r="F2" s="332"/>
    </x:row>
    <x:row r="4" ht="30" customHeight="1">
      <x:c r="A4" s="334" t="str">
        <x:v>Source ID</x:v>
      </x:c>
      <x:c r="B4" s="334" t="str">
        <x:v>Resource</x:v>
      </x:c>
      <x:c r="C4" s="334" t="str">
        <x:v>Use tier</x:v>
      </x:c>
      <x:c r="D4" s="334" t="str">
        <x:v>Evidence stage</x:v>
      </x:c>
      <x:c r="E4" s="334" t="str">
        <x:v>Fit / limits / next step</x:v>
      </x:c>
      <x:c r="F4" s="334" t="str">
        <x:v>Data or evidence link</x:v>
      </x:c>
    </x:row>
    <x:row r="5" ht="96" customHeight="1">
      <x:c r="A5" s="337" t="str">
        <x:v>INT-01</x:v>
      </x:c>
      <x:c r="B5" s="337" t="str">
        <x:v>Japan — NICT — World Data Center for Ionosphere &amp; Space Weather</x:v>
      </x:c>
      <x:c r="C5" s="337" t="str">
        <x:v>C — Environmental support</x:v>
      </x:c>
      <x:c r="D5" s="337" t="str">
        <x:v>2 — Fields / docs checked</x:v>
      </x:c>
      <x:c r="E5" s="337" t="str">
        <x:v>Useful ionosonde/TEC context; direct network measurements not confirmed.
NEXT: Select Kokubunji May2024 sample and metadata; separate network-data referral.</x:v>
      </x:c>
      <x:c r="F5" s="337" t="str">
        <x:v>https://wdc.nict.go.jp/wdc-top/contact.html</x:v>
      </x:c>
    </x:row>
    <x:row r="6" ht="96" customHeight="1">
      <x:c r="A6" s="338" t="str">
        <x:v>INT-02</x:v>
      </x:c>
      <x:c r="B6" s="338" t="str">
        <x:v>Canada — University of Victoria — Starlink@PanLab / LENS</x:v>
      </x:c>
      <x:c r="C6" s="338" t="str">
        <x:v>A — Direct network</x:v>
      </x:c>
      <x:c r="D6" s="338" t="str">
        <x:v>2 — Fields / docs checked</x:v>
      </x:c>
      <x:c r="E6" s="338" t="str">
        <x:v>RTT/loss schemas documented. Public LENS files do not require a new reply to begin screening.
NEXT: Obtain small node/date subset; inspect loss markers, clocks, endpoints, cadence and new portal.</x:v>
      </x:c>
      <x:c r="F6" s="338" t="str">
        <x:v>https://github.com/clarkzjw/LENS</x:v>
      </x:c>
    </x:row>
    <x:row r="7" ht="96" customHeight="1">
      <x:c r="A7" s="337" t="str">
        <x:v>INT-03</x:v>
      </x:c>
      <x:c r="B7" s="337" t="str">
        <x:v>Germany / Netherlands — WetLinks — Osnabrück University / University of Twente</x:v>
      </x:c>
      <x:c r="C7" s="337" t="str">
        <x:v>A — Direct network</x:v>
      </x:c>
      <x:c r="D7" s="337" t="str">
        <x:v>2 — Fields / docs checked</x:v>
      </x:c>
      <x:c r="E7" s="337" t="str">
        <x:v>RTT, loss, throughput and colocated weather documented; CSV file listing reached.
NEXT: Import one analysis/net_ping CSV on a workstation; preserve raw vs cleaned stages and missingness.</x:v>
      </x:c>
      <x:c r="F7" s="337" t="str">
        <x:v>https://github.com/sys-uos/WetLinks</x:v>
      </x:c>
    </x:row>
    <x:row r="8" ht="96" customHeight="1">
      <x:c r="A8" s="338" t="str">
        <x:v>INT-04</x:v>
      </x:c>
      <x:c r="B8" s="338" t="str">
        <x:v>Netherlands — RIPE NCC — RIPE Atlas</x:v>
      </x:c>
      <x:c r="C8" s="338" t="str">
        <x:v>A — Direct network</x:v>
      </x:c>
      <x:c r="D8" s="338" t="str">
        <x:v>1 — Route / page only</x:v>
      </x:c>
      <x:c r="E8" s="338" t="str">
        <x:v>Public active-measurement service; outage derivation requires measurement results, not probe status alone.
NEXT: Select satellite-connected probe IDs/time interval; fetch ping/traceroute results.</x:v>
      </x:c>
      <x:c r="F8" s="338" t="str">
        <x:v>https://atlas.ripe.net/</x:v>
      </x:c>
    </x:row>
    <x:row r="9" ht="96" customHeight="1">
      <x:c r="A9" s="337" t="str">
        <x:v>INT-05</x:v>
      </x:c>
      <x:c r="B9" s="337" t="str">
        <x:v>New Zealand — University of Otago — Solar Tsunamis / MANA Network</x:v>
      </x:c>
      <x:c r="C9" s="337" t="str">
        <x:v>C — Environmental support</x:v>
      </x:c>
      <x:c r="D9" s="337" t="str">
        <x:v>1 — Route / page only</x:v>
      </x:c>
      <x:c r="E9" s="337" t="str">
        <x:v>Geomagnetic observations; access/request policy reached.
NEXT: Select station/date; obtain sample and permission/citation instructions.</x:v>
      </x:c>
      <x:c r="F9" s="337" t="str">
        <x:v>https://solartsunamis.otago.ac.nz/mana/mana-data/</x:v>
      </x:c>
    </x:row>
    <x:row r="10" ht="96" customHeight="1">
      <x:c r="A10" s="338" t="str">
        <x:v>INT-06</x:v>
      </x:c>
      <x:c r="B10" s="338" t="str">
        <x:v>New Zealand — Earth Sciences New Zealand — Geomagnetism Project</x:v>
      </x:c>
      <x:c r="C10" s="338" t="str">
        <x:v>D — Reference / referral</x:v>
      </x:c>
      <x:c r="D10" s="338" t="str">
        <x:v>1 — Route / page only</x:v>
      </x:c>
      <x:c r="E10" s="338" t="str">
        <x:v>Named geomagnetic expert; profile is not an acquired dataset.
NEXT: Follow observatory/INTERMAGNET data link before classifying as ready.</x:v>
      </x:c>
      <x:c r="F10" s="338" t="str">
        <x:v>https://www.gns.cri.nz/about-us/staff-search/tanja-petersen/</x:v>
      </x:c>
    </x:row>
    <x:row r="11" ht="96" customHeight="1">
      <x:c r="A11" s="337" t="str">
        <x:v>INT-07</x:v>
      </x:c>
      <x:c r="B11" s="337" t="str">
        <x:v>Australia — Australian Space Weather Forecasting Centre — Bureau of Meteorology</x:v>
      </x:c>
      <x:c r="C11" s="337" t="str">
        <x:v>C — Environmental support</x:v>
      </x:c>
      <x:c r="D11" s="337" t="str">
        <x:v>2 — Fields / docs checked</x:v>
      </x:c>
      <x:c r="E11" s="337" t="str">
        <x:v>Provider supplied eight environmental links; no direct network fields confirmed.
NEXT: Select numeric ionospheric/geomagnetic series; separate alerts from actual measured link failures.</x:v>
      </x:c>
      <x:c r="F11" s="337" t="str">
        <x:v>https://www.sws.bom.gov.au/Contact_Us</x:v>
      </x:c>
    </x:row>
    <x:row r="12" ht="96" customHeight="1">
      <x:c r="A12" s="338" t="str">
        <x:v>INT-08</x:v>
      </x:c>
      <x:c r="B12" s="338" t="str">
        <x:v>United Kingdom — UK Met Office — Space Weather Operations Centre (MOSWOC)</x:v>
      </x:c>
      <x:c r="C12" s="338" t="str">
        <x:v>D — Reference / referral</x:v>
      </x:c>
      <x:c r="D12" s="338" t="str">
        <x:v>1 — Route / page only</x:v>
      </x:c>
      <x:c r="E12" s="338" t="str">
        <x:v>Operational space-weather description; no selected historical data file.
NEXT: Identify archive/product file and reuse terms.</x:v>
      </x:c>
      <x:c r="F12" s="338" t="str">
        <x:v>https://weather.metoffice.gov.uk/learn-about/space-weather/met-office-role</x:v>
      </x:c>
    </x:row>
    <x:row r="13" ht="96" customHeight="1">
      <x:c r="A13" s="337" t="str">
        <x:v>INT-09</x:v>
      </x:c>
      <x:c r="B13" s="337" t="str">
        <x:v>South Africa — SANSA — Space Weather Centre</x:v>
      </x:c>
      <x:c r="C13" s="337" t="str">
        <x:v>C — Environmental support</x:v>
      </x:c>
      <x:c r="D13" s="337" t="str">
        <x:v>1 — Route / page only</x:v>
      </x:c>
      <x:c r="E13" s="337" t="str">
        <x:v>Provider confirms geomagnetic data; explicitly excludes public direct link performance.
NEXT: Retry public product route and request only specific historical data needed.</x:v>
      </x:c>
      <x:c r="F13" s="337" t="str">
        <x:v>https://spaceweather.sansa.org.za/products-and-services/current-conditions/geomagnetic-data</x:v>
      </x:c>
    </x:row>
    <x:row r="14" ht="96" customHeight="1">
      <x:c r="A14" s="338" t="str">
        <x:v>INT-10</x:v>
      </x:c>
      <x:c r="B14" s="338" t="str">
        <x:v>Belgium / ESA — ESA — Space Weather Service Network</x:v>
      </x:c>
      <x:c r="C14" s="338" t="str">
        <x:v>C — Environmental support</x:v>
      </x:c>
      <x:c r="D14" s="338" t="str">
        <x:v>1 — Route / page only</x:v>
      </x:c>
      <x:c r="E14" s="338" t="str">
        <x:v>Space-weather portal/helpdesk, not a selected numerical dataset.
NEXT: Pick product, cadence and registration/reuse requirements.</x:v>
      </x:c>
      <x:c r="F14" s="338" t="str">
        <x:v>https://swe.ssa.esa.int/contact</x:v>
      </x:c>
    </x:row>
    <x:row r="15" ht="96" customHeight="1">
      <x:c r="A15" s="337" t="str">
        <x:v>INT-11</x:v>
      </x:c>
      <x:c r="B15" s="337" t="str">
        <x:v>Germany — EUMETSAT — User Service Helpdesk</x:v>
      </x:c>
      <x:c r="C15" s="337" t="str">
        <x:v>C — Environmental support</x:v>
      </x:c>
      <x:c r="D15" s="337" t="str">
        <x:v>1 — Route / page only</x:v>
      </x:c>
      <x:c r="E15" s="337" t="str">
        <x:v>Weather-service referral/catalog; no selected measurements.
NEXT: Select ground-site weather product and matching period.</x:v>
      </x:c>
      <x:c r="F15" s="337" t="str">
        <x:v>https://www.eumetsat.int/contact-eumetsat</x:v>
      </x:c>
    </x:row>
    <x:row r="16" ht="96" customHeight="1">
      <x:c r="A16" s="338" t="str">
        <x:v>INT-12</x:v>
      </x:c>
      <x:c r="B16" s="338" t="str">
        <x:v>New Zealand — New Zealand Space Agency</x:v>
      </x:c>
      <x:c r="C16" s="338" t="str">
        <x:v>D — Reference / referral</x:v>
      </x:c>
      <x:c r="D16" s="338" t="str">
        <x:v>0 — Not verified</x:v>
      </x:c>
      <x:c r="E16" s="338" t="str">
        <x:v>Referral only; current URL fetch unresolved.
NEXT: Recheck official contact page; do not count as dataset.</x:v>
      </x:c>
      <x:c r="F16" s="338" t="str">
        <x:v>https://www.mbie.govt.nz/science-and-technology/space/connect-with-nzsa</x:v>
      </x:c>
    </x:row>
    <x:row r="17" ht="96" customHeight="1">
      <x:c r="A17" s="337" t="str">
        <x:v>INT-13</x:v>
      </x:c>
      <x:c r="B17" s="337" t="str">
        <x:v>Germany / ESA — ESA Space Debris Office — DISCOS / SDUP</x:v>
      </x:c>
      <x:c r="C17" s="337" t="str">
        <x:v>D — Reference / referral</x:v>
      </x:c>
      <x:c r="D17" s="337" t="str">
        <x:v>1 — Route / page only</x:v>
      </x:c>
      <x:c r="E17" s="337" t="str">
        <x:v>Orbital-object metadata/support route; not service performance.
NEXT: Use only if it adds required orbital metadata beyond CelesTrak.</x:v>
      </x:c>
      <x:c r="F17" s="337" t="str">
        <x:v>https://sdup.esoc.esa.int/contact</x:v>
      </x:c>
    </x:row>
    <x:row r="18" ht="96" customHeight="1">
      <x:c r="A18" s="338" t="str">
        <x:v>EXP-01</x:v>
      </x:c>
      <x:c r="B18" s="338" t="str">
        <x:v>United Kingdom — University of Surrey — LEOScope</x:v>
      </x:c>
      <x:c r="C18" s="338" t="str">
        <x:v>A — Direct network</x:v>
      </x:c>
      <x:c r="D18" s="338" t="str">
        <x:v>1 — Route / page only</x:v>
      </x:c>
      <x:c r="E18" s="338" t="str">
        <x:v>Relevant testbed; page shell reached, historical bulk traces not confirmed.
NEXT: Ask for existing public trace IDs and small downloadable sample.</x:v>
      </x:c>
      <x:c r="F18" s="338" t="str">
        <x:v>https://leoscope.surrey.ac.uk/</x:v>
      </x:c>
    </x:row>
    <x:row r="19" ht="96" customHeight="1">
      <x:c r="A19" s="337" t="str">
        <x:v>EXP-02</x:v>
      </x:c>
      <x:c r="B19" s="337" t="str">
        <x:v>Sweden — Karlstad University — Computer Science</x:v>
      </x:c>
      <x:c r="C19" s="337" t="str">
        <x:v>A — Direct network</x:v>
      </x:c>
      <x:c r="D19" s="337" t="str">
        <x:v>1 — Route / page only</x:v>
      </x:c>
      <x:c r="E19" s="337" t="str">
        <x:v>Prior OWD dataset metadata retained; current Zenodo retrieval unresolved.
NEXT: Retry download on workstation; sequence gaps may be timestamp-readout failures.</x:v>
      </x:c>
      <x:c r="F19" s="337" t="str">
        <x:v>https://zenodo.org/records/16275284
https://doi.org/10.1145/3748749.3749090</x:v>
      </x:c>
    </x:row>
    <x:row r="20" ht="96" customHeight="1">
      <x:c r="A20" s="338" t="str">
        <x:v>EXP-03</x:v>
      </x:c>
      <x:c r="B20" s="338" t="str">
        <x:v>Greece — Hellenic Telecommunications Organization (OTE) — NEXASPHERE</x:v>
      </x:c>
      <x:c r="C20" s="338" t="str">
        <x:v>A — Direct network</x:v>
      </x:c>
      <x:c r="D20" s="338" t="str">
        <x:v>2 — Fields / docs checked</x:v>
      </x:c>
      <x:c r="E20" s="338" t="str">
        <x:v>CSV/JSON field inventory and 6.4 MB ZIP verified; nominal window reported.
NEXT: Import ZIP; reconcile 8,857 cycles vs cadence before claiming complete availability.</x:v>
      </x:c>
      <x:c r="F20" s="338" t="str">
        <x:v>https://zenodo.org/records/20796667
https://nexasphere.eu/</x:v>
      </x:c>
    </x:row>
    <x:row r="21" ht="96" customHeight="1">
      <x:c r="A21" s="337" t="str">
        <x:v>EXP-04</x:v>
      </x:c>
      <x:c r="B21" s="337" t="str">
        <x:v>Italy — Politecnico di Torino — SmartData / Telecommunication Networks Group</x:v>
      </x:c>
      <x:c r="C21" s="337" t="str">
        <x:v>A — Direct network</x:v>
      </x:c>
      <x:c r="D21" s="337" t="str">
        <x:v>2 — Fields / docs checked</x:v>
      </x:c>
      <x:c r="E21" s="337" t="str">
        <x:v>University open-data page documents delay/loss/throughput/load experiments.
NEXT: Follow raw archive; inspect unloaded/loaded sample for latency decomposition.</x:v>
      </x:c>
      <x:c r="F21" s="337" t="str">
        <x:v>https://smartdata.polito.it/a-first-look-at-starlink-performance-open-data/</x:v>
      </x:c>
    </x:row>
    <x:row r="22" ht="96" customHeight="1">
      <x:c r="A22" s="338" t="str">
        <x:v>EXP-05</x:v>
      </x:c>
      <x:c r="B22" s="338" t="str">
        <x:v>Brazil — Universidade Federal Fluminense — MídiaCom / PPGEET</x:v>
      </x:c>
      <x:c r="C22" s="338" t="str">
        <x:v>A — Direct network</x:v>
      </x:c>
      <x:c r="D22" s="338" t="str">
        <x:v>1 — Route / page only</x:v>
      </x:c>
      <x:c r="E22" s="338" t="str">
        <x:v>Kaggle dataset shell reached; actual numeric contents and access still unverified.
NEXT: Obtain release/version/sample; resolve paper's conflicting availability statement.</x:v>
      </x:c>
      <x:c r="F22" s="338" t="str">
        <x:v>https://www.kaggle.com/datasets/ferrazani/mobile-leo-satellite-access-network
https://doi.org/10.1007/s12243-026-01189-2</x:v>
      </x:c>
    </x:row>
    <x:row r="23" ht="96" customHeight="1">
      <x:c r="A23" s="337" t="str">
        <x:v>EXP-06</x:v>
      </x:c>
      <x:c r="B23" s="337" t="str">
        <x:v>Finland — VTT Technical Research Centre of Finland / University of Oulu</x:v>
      </x:c>
      <x:c r="C23" s="337" t="str">
        <x:v>A — Direct network</x:v>
      </x:c>
      <x:c r="D23" s="337" t="str">
        <x:v>1 — Source/contact confirmed; numerical data unavailable</x:v>
      </x:c>
      <x:c r="E23" s="337" t="str">
        <x:v>Provider response received 23 Sep 2026: historical Starlink measurement data are no longer available and were not saved.
NEXT: Close as a data-acquisition lead; retain the published paper only as contextual literature. Do not plan DES ingestion from this source.</x:v>
      </x:c>
      <x:c r="F23" s="337" t="str">
        <x:v>https://oulurepo.oulu.fi/handle/10024/58511
https://doi.org/10.1109/MeditCom64437.2025.11104426</x:v>
      </x:c>
    </x:row>
    <x:row r="24" ht="96" customHeight="1">
      <x:c r="A24" s="338" t="str">
        <x:v>MX-01</x:v>
      </x:c>
      <x:c r="B24" s="338" t="str">
        <x:v>Mexico — UNAM / SCiESMEX / LANCE</x:v>
      </x:c>
      <x:c r="C24" s="338" t="str">
        <x:v>C — Environmental support</x:v>
      </x:c>
      <x:c r="D24" s="338" t="str">
        <x:v>0 — Not verified</x:v>
      </x:c>
      <x:c r="E24" s="338" t="str">
        <x:v>UNAM GNSS/TEC lead; current site retrieval unresolved.
NEXT: Retry official archive; separate GNSS-derived TEC from packet delay.</x:v>
      </x:c>
      <x:c r="F24" s="338" t="str">
        <x:v>https://www.rice.unam.mx/</x:v>
      </x:c>
    </x:row>
    <x:row r="25" ht="96" customHeight="1">
      <x:c r="A25" s="337" t="str">
        <x:v>AR-01</x:v>
      </x:c>
      <x:c r="B25" s="337" t="str">
        <x:v>Argentina — Universidad Nacional de La Plata / SIRGAS</x:v>
      </x:c>
      <x:c r="C25" s="337" t="str">
        <x:v>C — Environmental support</x:v>
      </x:c>
      <x:c r="D25" s="337" t="str">
        <x:v>2 — Fields / docs checked</x:v>
      </x:c>
      <x:c r="E25" s="337" t="str">
        <x:v>Hourly modeled/derived TEC maps; not satellite Internet measurements.
NEXT: Follow numeric grid archive; identify measured vs derived fields.</x:v>
      </x:c>
      <x:c r="F25" s="337" t="str">
        <x:v>https://sirgas.ipgh.org/en/products/ionospheric-maps/</x:v>
      </x:c>
    </x:row>
    <x:row r="26" ht="96" customHeight="1">
      <x:c r="A26" s="338" t="str">
        <x:v>AQ-01</x:v>
      </x:c>
      <x:c r="B26" s="338" t="str">
        <x:v>Antarctica — US Antarctic Program / South Pole</x:v>
      </x:c>
      <x:c r="C26" s="338" t="str">
        <x:v>D — Reference / referral</x:v>
      </x:c>
      <x:c r="D26" s="338" t="str">
        <x:v>2 — Fields / docs checked</x:v>
      </x:c>
      <x:c r="E26" s="338" t="str">
        <x:v>Public weekly planned satellite-contact windows; NOT measured service uptime.
NEXT: Acquire schedule for a notional DES gate; label forecasts and schedule changes.</x:v>
      </x:c>
      <x:c r="F26" s="338" t="str">
        <x:v>https://www.usap.gov/technology/sctnsouthpolesats.cfm</x:v>
      </x:c>
    </x:row>
    <x:row r="27" ht="96" customHeight="1">
      <x:c r="A27" s="337" t="str">
        <x:v>AQ-02</x:v>
      </x:c>
      <x:c r="B27" s="337" t="str">
        <x:v>Antarctica / Arctic — UiT Tromsø Geophysical Observatory</x:v>
      </x:c>
      <x:c r="C27" s="337" t="str">
        <x:v>C — Environmental support</x:v>
      </x:c>
      <x:c r="D27" s="337" t="str">
        <x:v>2 — Fields / docs checked</x:v>
      </x:c>
      <x:c r="E27" s="337" t="str">
        <x:v>Magnetic-field ASCII/IAGA selection form; some requests need password.
NEXT: Choose station/cadence, obtain public sample; retain instrument outages.</x:v>
      </x:c>
      <x:c r="F27" s="337" t="str">
        <x:v>https://flux.phys.uit.no/ascii/</x:v>
      </x:c>
    </x:row>
    <x:row r="28" ht="96" customHeight="1">
      <x:c r="A28" s="338" t="str">
        <x:v>LK-01</x:v>
      </x:c>
      <x:c r="B28" s="338" t="str">
        <x:v>Sri Lanka — Lanka Education and Research Network (LEARN)</x:v>
      </x:c>
      <x:c r="C28" s="338" t="str">
        <x:v>D — Reference / referral</x:v>
      </x:c>
      <x:c r="D28" s="338" t="str">
        <x:v>1 — Route / page only</x:v>
      </x:c>
      <x:c r="E28" s="338" t="str">
        <x:v>Sri Lanka academic-network institutional page; historical export unconfirmed.
NEXT: Ask for releasable network measurements; not a ready satellite dataset.</x:v>
      </x:c>
      <x:c r="F28" s="338" t="str">
        <x:v>https://www.ac.lk/network</x:v>
      </x:c>
    </x:row>
    <x:row r="29" ht="96" customHeight="1">
      <x:c r="A29" s="337" t="str">
        <x:v>IN-01</x:v>
      </x:c>
      <x:c r="B29" s="337" t="str">
        <x:v>India — Indian Institute of Geomagnetism / WDC Mumbai</x:v>
      </x:c>
      <x:c r="C29" s="337" t="str">
        <x:v>C — Environmental support</x:v>
      </x:c>
      <x:c r="D29" s="337" t="str">
        <x:v>1 — Route / page only</x:v>
      </x:c>
      <x:c r="E29" s="337" t="str">
        <x:v>Indian geomagnetic catalog reached; station/numeric data not inspected.
NEXT: Choose Alibag/other station and historical range.</x:v>
      </x:c>
      <x:c r="F29" s="337" t="str">
        <x:v>https://wdc.iigm.res.in/</x:v>
      </x:c>
    </x:row>
    <x:row r="30" ht="96" customHeight="1">
      <x:c r="A30" s="338" t="str">
        <x:v>IN-02</x:v>
      </x:c>
      <x:c r="B30" s="338" t="str">
        <x:v>India — Kolkata-area research observatory / VLF study</x:v>
      </x:c>
      <x:c r="C30" s="338" t="str">
        <x:v>C — Environmental support</x:v>
      </x:c>
      <x:c r="D30" s="338" t="str">
        <x:v>2 — Fields / docs checked</x:v>
      </x:c>
      <x:c r="E30" s="338" t="str">
        <x:v>VLF amplitude vs UT hour during eclipse, with quiet-day baseline; CC BY4.
NEXT: Download event and baseline files; amplitude is not RTT.</x:v>
      </x:c>
      <x:c r="F30" s="338" t="str">
        <x:v>https://data.mendeley.com/datasets/npygym5sf6/1</x:v>
      </x:c>
    </x:row>
    <x:row r="31" ht="96" customHeight="1">
      <x:c r="A31" s="337" t="str">
        <x:v>BD-01</x:v>
      </x:c>
      <x:c r="B31" s="337" t="str">
        <x:v>Bangladesh — Bangladesh Research and Education Network (BdREN)</x:v>
      </x:c>
      <x:c r="C31" s="337" t="str">
        <x:v>D — Reference / referral</x:v>
      </x:c>
      <x:c r="D31" s="337" t="str">
        <x:v>1 — Route / page only</x:v>
      </x:c>
      <x:c r="E31" s="337" t="str">
        <x:v>Bangladesh academic-network contact route only.
NEXT: Request existing reachability/latency export and clear endpoints.</x:v>
      </x:c>
      <x:c r="F31" s="337" t="str">
        <x:v>https://bdren.net.bd/contact</x:v>
      </x:c>
    </x:row>
    <x:row r="32" ht="96" customHeight="1">
      <x:c r="A32" s="338" t="str">
        <x:v>BD-02</x:v>
      </x:c>
      <x:c r="B32" s="338" t="str">
        <x:v>Bangladesh / global — IODA and OONI</x:v>
      </x:c>
      <x:c r="C32" s="338" t="str">
        <x:v>A — Direct network</x:v>
      </x:c>
      <x:c r="D32" s="338" t="str">
        <x:v>1 — Route / page only</x:v>
      </x:c>
      <x:c r="E32" s="338" t="str">
        <x:v>Internet reachability/disruption candidate; dynamic site prevents deeper check.
NEXT: Select Bangladesh time span/API; distinguish terrestrial reachability from satellite service.</x:v>
      </x:c>
      <x:c r="F32" s="338" t="str">
        <x:v>https://ioda.inetintel.cc.gatech.edu/about</x:v>
      </x:c>
    </x:row>
    <x:row r="33" ht="96" customHeight="1">
      <x:c r="A33" s="337" t="str">
        <x:v>TDC-01</x:v>
      </x:c>
      <x:c r="B33" s="337" t="str">
        <x:v>Tristan da Cunha — GFZ / INTERMAGNET / NASA SPDF</x:v>
      </x:c>
      <x:c r="C33" s="337" t="str">
        <x:v>C — Environmental support</x:v>
      </x:c>
      <x:c r="D33" s="337" t="str">
        <x:v>1 — Route / page only</x:v>
      </x:c>
      <x:c r="E33" s="337" t="str">
        <x:v>Tristan geomagnetic observatory confirmed; not evidence of new GNSS time series.
NEXT: Use historic geomagnetic archive; no current latency trace confirmed.</x:v>
      </x:c>
      <x:c r="F33" s="337" t="str">
        <x:v>https://www.gfz.de/en/section/geomagnetism/infrastructure/geomagnetic-observatories/tristan-da-cunha</x:v>
      </x:c>
    </x:row>
    <x:row r="34" ht="96" customHeight="1">
      <x:c r="A34" s="338" t="str">
        <x:v>ISL-01</x:v>
      </x:c>
      <x:c r="B34" s="338" t="str">
        <x:v>Christmas Island / Kiritimati — historical ionospheric archives</x:v>
      </x:c>
      <x:c r="C34" s="338" t="str">
        <x:v>C — Environmental support</x:v>
      </x:c>
      <x:c r="D34" s="338" t="str">
        <x:v>2 — Fields / docs checked</x:v>
      </x:c>
      <x:c r="E34" s="338" t="str">
        <x:v>Kiritimati historical ionospheric station/median records; not Australian XMIS.
NEXT: Check station epoch and resolution; medians cannot yield outage durations.</x:v>
      </x:c>
      <x:c r="F34" s="338" t="str">
        <x:v>https://www.sws.bom.gov.au/World_Data_Centre/2/8/2</x:v>
      </x:c>
    </x:row>
    <x:row r="35" ht="96" customHeight="1">
      <x:c r="A35" s="337" t="str">
        <x:v>CW-01</x:v>
      </x:c>
      <x:c r="B35" s="337" t="str">
        <x:v>Canada / historical space research — Alouette and ISIS (NASA archive)</x:v>
      </x:c>
      <x:c r="C35" s="337" t="str">
        <x:v>C — Environmental support</x:v>
      </x:c>
      <x:c r="D35" s="337" t="str">
        <x:v>2 — Fields / docs checked</x:v>
      </x:c>
      <x:c r="E35" s="337" t="str">
        <x:v>Public ISIS/Alouette ionogram restoration, CDF/binary download routes.
NEXT: Select numeric electron-density record; apply old-instrument quality guidance.</x:v>
      </x:c>
      <x:c r="F35" s="337" t="str">
        <x:v>https://spdf.gsfc.nasa.gov/isis/</x:v>
      </x:c>
    </x:row>
    <x:row r="36" ht="96" customHeight="1">
      <x:c r="A36" s="338" t="str">
        <x:v>CW-02</x:v>
      </x:c>
      <x:c r="B36" s="338" t="str">
        <x:v>Worldwide historical stations — BoM / former NGDC ionosondes</x:v>
      </x:c>
      <x:c r="C36" s="338" t="str">
        <x:v>C — Environmental support</x:v>
      </x:c>
      <x:c r="D36" s="338" t="str">
        <x:v>2 — Fields / docs checked</x:v>
      </x:c>
      <x:c r="E36" s="338" t="str">
        <x:v>Historic ionospheric data/format lists; useful environmental archive.
NEXT: Choose actual station/date files, not just catalogue labels.</x:v>
      </x:c>
      <x:c r="F36" s="338" t="str">
        <x:v>https://www.sws.bom.gov.au/World_Data_Centre/1/3</x:v>
      </x:c>
    </x:row>
    <x:row r="37" ht="96" customHeight="1">
      <x:c r="A37" s="337" t="str">
        <x:v>NET-01</x:v>
      </x:c>
      <x:c r="B37" s="337" t="str">
        <x:v>Global — Measurement Lab (M-Lab) — NDT / BigQuery</x:v>
      </x:c>
      <x:c r="C37" s="337" t="str">
        <x:v>A — Direct network</x:v>
      </x:c>
      <x:c r="D37" s="337" t="str">
        <x:v>2 — Fields / docs checked</x:v>
      </x:c>
      <x:c r="E37" s="337" t="str">
        <x:v>PROVIDER-CONFIRMED 22 Sep. M-Lab says NDT contains the requested network-performance information; BigQuery includes server/client ASN fields for filtering. NEXT: query a bounded Starlink AS14593 subset, inspect numerical fields/cadence/sample bias and freeze a reproducible extract. No outage labels are provided; no-test ≠ outage.</x:v>
      </x:c>
      <x:c r="F37" s="337" t="str">
        <x:v>https://www.measurementlab.net/tests/ndt/</x:v>
      </x:c>
    </x:row>
    <x:row r="38" ht="96" customHeight="1">
      <x:c r="A38" s="338" t="str">
        <x:v>DOM-NASA</x:v>
      </x:c>
      <x:c r="B38" s="338" t="str">
        <x:v>United States — NASA — SCaN</x:v>
      </x:c>
      <x:c r="C38" s="338" t="str">
        <x:v>D — Reference / referral</x:v>
      </x:c>
      <x:c r="D38" s="338" t="str">
        <x:v>1 — Route / page only</x:v>
      </x:c>
      <x:c r="E38" s="338" t="str">
        <x:v>SCaN architecture/contact, no flight performance logs received.
NEXT: Seek public technical record/testbed referral, not inferred telemetry.</x:v>
      </x:c>
      <x:c r="F38" s="338" t="str">
        <x:v>https://www.nasa.gov/directorates/somd/space-communications-navigation-program/contact-scan/</x:v>
      </x:c>
    </x:row>
    <x:row r="39" ht="96" customHeight="1">
      <x:c r="A39" s="337" t="str">
        <x:v>DOM-JPL</x:v>
      </x:c>
      <x:c r="B39" s="337" t="str">
        <x:v>United States — NASA/JPL — Artificial Intelligence Group</x:v>
      </x:c>
      <x:c r="C39" s="337" t="str">
        <x:v>B — AI / task management</x:v>
      </x:c>
      <x:c r="D39" s="337" t="str">
        <x:v>2 — Fields / docs checked</x:v>
      </x:c>
      <x:c r="E39" s="337" t="str">
        <x:v>ASE documents real onboard planning, analysis, execution and prioritized downlink.
NEXT: Request public task logs/benchmarks; no raw latency/workload data yet.</x:v>
      </x:c>
      <x:c r="F39" s="337" t="str">
        <x:v>https://ai.jpl.nasa.gov/public/projects/ase/</x:v>
      </x:c>
    </x:row>
    <x:row r="40" ht="96" customHeight="1">
      <x:c r="A40" s="338" t="str">
        <x:v>DOM-NOAA</x:v>
      </x:c>
      <x:c r="B40" s="338" t="str">
        <x:v>United States — NOAA — Space Weather Prediction Center</x:v>
      </x:c>
      <x:c r="C40" s="338" t="str">
        <x:v>C — Environmental support</x:v>
      </x:c>
      <x:c r="D40" s="338" t="str">
        <x:v>1 — Route / page only</x:v>
      </x:c>
      <x:c r="E40" s="338" t="str">
        <x:v>Environmental products; listed URL is an old contact notice.
NEXT: Use specific current product URL and preserve observed vs predicted effects.</x:v>
      </x:c>
      <x:c r="F40" s="338" t="str">
        <x:v>https://www.spaceweather.gov/news/swpc-legacy-website-removal-5-september-2018</x:v>
      </x:c>
    </x:row>
    <x:row r="41" ht="96" customHeight="1">
      <x:c r="A41" s="337" t="str">
        <x:v>DOM-NCEI-SW</x:v>
      </x:c>
      <x:c r="B41" s="337" t="str">
        <x:v>United States — NOAA NCEI — Space Weather / Geophysics</x:v>
      </x:c>
      <x:c r="C41" s="337" t="str">
        <x:v>C — Environmental support</x:v>
      </x:c>
      <x:c r="D41" s="337" t="str">
        <x:v>2 — Fields / docs checked</x:v>
      </x:c>
      <x:c r="E41" s="337" t="str">
        <x:v>Josh excludes engineering-level network archive; environment products available.
NEXT: Use GOES XRS CSV + metadata first; request field-specific help after inspection.</x:v>
      </x:c>
      <x:c r="F41" s="337" t="str">
        <x:v>https://www.ncei.noaa.gov/products/space-weather</x:v>
      </x:c>
    </x:row>
    <x:row r="42" ht="96" customHeight="1">
      <x:c r="A42" s="338" t="str">
        <x:v>DOM-NCEI-WX</x:v>
      </x:c>
      <x:c r="B42" s="338" t="str">
        <x:v>United States — NOAA NCEI — Climate / Past Weather</x:v>
      </x:c>
      <x:c r="C42" s="338" t="str">
        <x:v>C — Environmental support</x:v>
      </x:c>
      <x:c r="D42" s="338" t="str">
        <x:v>1 — Route / page only</x:v>
      </x:c>
      <x:c r="E42" s="338" t="str">
        <x:v>Ground weather role retained; no separate response to this inbox confirmed.
NEXT: Select station/product/date; do not duplicate Josh as a second reply.</x:v>
      </x:c>
      <x:c r="F42" s="338" t="str">
        <x:v>https://www.ncei.noaa.gov/contact</x:v>
      </x:c>
    </x:row>
    <x:row r="43" ht="96" customHeight="1">
      <x:c r="A43" s="337" t="str">
        <x:v>DOM-RAND</x:v>
      </x:c>
      <x:c r="B43" s="337" t="str">
        <x:v>United States — RAND — Resilience Assessment Framework</x:v>
      </x:c>
      <x:c r="C43" s="337" t="str">
        <x:v>D — Reference / referral</x:v>
      </x:c>
      <x:c r="D43" s="337" t="str">
        <x:v>1 — Route / page only</x:v>
      </x:c>
      <x:c r="E43" s="337" t="str">
        <x:v>Methodology/reference support. Current directory DOI is author-contact evidence, not dataset.
NEXT: Use RR-A980-1 for methods; supporting files remain to be requested.</x:v>
      </x:c>
      <x:c r="F43" s="337" t="str">
        <x:v>https://doi.org/10.1017/cfl.2025.10036</x:v>
      </x:c>
    </x:row>
    <x:row r="44" ht="96" customHeight="1">
      <x:c r="A44" s="338" t="str">
        <x:v>DOM-CT</x:v>
      </x:c>
      <x:c r="B44" s="338" t="str">
        <x:v>United States — CelesTrak — Orbital Products</x:v>
      </x:c>
      <x:c r="C44" s="338" t="str">
        <x:v>D — Reference / referral</x:v>
      </x:c>
      <x:c r="D44" s="338" t="str">
        <x:v>1 — Route / page only</x:v>
      </x:c>
      <x:c r="E44" s="338" t="str">
        <x:v>Orbit inputs/support code; geometry is not measured link uptime.
NEXT: Select object epochs and derive documented contact windows.</x:v>
      </x:c>
      <x:c r="F44" s="338" t="str">
        <x:v>https://github.com/CelesTrak</x:v>
      </x:c>
    </x:row>
    <x:row r="45" ht="96" customHeight="1">
      <x:c r="A45" s="337" t="str">
        <x:v>DOM-AFRL</x:v>
      </x:c>
      <x:c r="B45" s="337" t="str">
        <x:v>United States — AFRL / Boston College — SCINDA</x:v>
      </x:c>
      <x:c r="C45" s="337" t="str">
        <x:v>HOLD — Restricted</x:v>
      </x:c>
      <x:c r="D45" s="337" t="str">
        <x:v>1 — Route / page only</x:v>
      </x:c>
      <x:c r="E45" s="337" t="str">
        <x:v>SCINDA portal explicitly Authorized Use Only.
NEXT: No restricted import. Ask owner about public-release alternatives; RSTN/SSIES separate.</x:v>
      </x:c>
      <x:c r="F45" s="337" t="str">
        <x:v>https://scinda.bc.edu/</x:v>
      </x:c>
    </x:row>
    <x:row r="46" ht="96" customHeight="1">
      <x:c r="A46" s="338" t="str">
        <x:v>NET-02</x:v>
      </x:c>
      <x:c r="B46" s="338" t="str">
        <x:v>Global / TU Delft — Horizon — Global Starlink</x:v>
      </x:c>
      <x:c r="C46" s="338" t="str">
        <x:v>A — Direct network</x:v>
      </x:c>
      <x:c r="D46" s="338" t="str">
        <x:v>2 — Fields / docs checked</x:v>
      </x:c>
      <x:c r="E46" s="338" t="str">
        <x:v>Global network/weather features and ML prediction tools; not an onboard AI layer.
NEXT: Follow data DOI and select countries/dates; check M-Lab overlap and sampling bias.</x:v>
      </x:c>
      <x:c r="F46" s="338" t="str">
        <x:v>https://github.com/SPEAR-Research-Lab/Horizon-Predicting-Starlink-Performance</x:v>
      </x:c>
    </x:row>
    <x:row r="47" ht="96" customHeight="1">
      <x:c r="A47" s="337" t="str">
        <x:v>NET-03</x:v>
      </x:c>
      <x:c r="B47" s="337" t="str">
        <x:v>Global / HPI research — Breaking Through the Clouds</x:v>
      </x:c>
      <x:c r="C47" s="337" t="str">
        <x:v>A — Direct network</x:v>
      </x:c>
      <x:c r="D47" s="337" t="str">
        <x:v>2 — Fields / docs checked</x:v>
      </x:c>
      <x:c r="E47" s="337" t="str">
        <x:v>Ping/traceroute/disconnect collection code; bulk archive route not completed.
NEXT: Find archived data release before claiming downloadable observations.</x:v>
      </x:c>
      <x:c r="F47" s="337" t="str">
        <x:v>https://github.com/diic-starlink/performance-insights-into-starlink</x:v>
      </x:c>
    </x:row>
    <x:row r="48" ht="96" customHeight="1">
      <x:c r="A48" s="338" t="str">
        <x:v>AR-02</x:v>
      </x:c>
      <x:c r="B48" s="338" t="str">
        <x:v>Argentina / Chile — Tucumán Space Weather Center — ACVID / TEC</x:v>
      </x:c>
      <x:c r="C48" s="338" t="str">
        <x:v>C — Environmental support</x:v>
      </x:c>
      <x:c r="D48" s="338" t="str">
        <x:v>1 — Route / page only</x:v>
      </x:c>
      <x:c r="E48" s="338" t="str">
        <x:v>Tucuman/ACVID ionospheric catalog reached; actual file schema uninspected.
NEXT: Download calibrated TEC/validated ionosonde sample and licensing.</x:v>
      </x:c>
      <x:c r="F48" s="338" t="str">
        <x:v>https://spaceweather.facet.unt.edu.ar/ionoagram-database/</x:v>
      </x:c>
    </x:row>
    <x:row r="49" ht="96" customHeight="1">
      <x:c r="A49" s="337" t="str">
        <x:v>AQ-03</x:v>
      </x:c>
      <x:c r="B49" s="337" t="str">
        <x:v>Antarctica / Japan — NICT — Syowa ionosonde archive</x:v>
      </x:c>
      <x:c r="C49" s="337" t="str">
        <x:v>C — Environmental support</x:v>
      </x:c>
      <x:c r="D49" s="337" t="str">
        <x:v>2 — Fields / docs checked</x:v>
      </x:c>
      <x:c r="E49" s="337" t="str">
        <x:v>Syowa ionospheric archive route; environmental polar case.
NEXT: Select Syowa numeric values vs ionogram images, cadence/quality.</x:v>
      </x:c>
      <x:c r="F49" s="337" t="str">
        <x:v>https://wdc.nict.go.jp/Ionosphere/en/archive/</x:v>
      </x:c>
    </x:row>
    <x:row r="50" ht="96" customHeight="1">
      <x:c r="A50" s="338" t="str">
        <x:v>AQ-04</x:v>
      </x:c>
      <x:c r="B50" s="338" t="str">
        <x:v>Antarctica / Australia — ASWFC — Casey / Mawson / Davis</x:v>
      </x:c>
      <x:c r="C50" s="338" t="str">
        <x:v>C — Environmental support</x:v>
      </x:c>
      <x:c r="D50" s="338" t="str">
        <x:v>2 — Fields / docs checked</x:v>
      </x:c>
      <x:c r="E50" s="338" t="str">
        <x:v>Casey/Mawson/Davis ionosonde catalogue and HTTPS routes.
NEXT: Choose station/date product; no packet latency implied.</x:v>
      </x:c>
      <x:c r="F50" s="338" t="str">
        <x:v>https://www.sws.bom.gov.au/World_Data_Centre/2/2</x:v>
      </x:c>
    </x:row>
    <x:row r="51" ht="96" customHeight="1">
      <x:c r="A51" s="337" t="str">
        <x:v>AQ-05</x:v>
      </x:c>
      <x:c r="B51" s="337" t="str">
        <x:v>Polar / UK — BAS — SuperDARN</x:v>
      </x:c>
      <x:c r="C51" s="337" t="str">
        <x:v>C — Environmental support</x:v>
      </x:c>
      <x:c r="D51" s="337" t="str">
        <x:v>1 — Route / page only</x:v>
      </x:c>
      <x:c r="E51" s="337" t="str">
        <x:v>SuperDARN project shell reached; actual numerical archive not inspected.
NEXT: Follow public catalogue/API and license; HF plasma data not service uptime.</x:v>
      </x:c>
      <x:c r="F51" s="337" t="str">
        <x:v>https://www.bas.ac.uk/project/superdarn/</x:v>
      </x:c>
    </x:row>
    <x:row r="52" ht="96" customHeight="1">
      <x:c r="A52" s="338" t="str">
        <x:v>LK-02</x:v>
      </x:c>
      <x:c r="B52" s="338" t="str">
        <x:v>Sri Lanka — IGS — SGOC00LKA, Colombo</x:v>
      </x:c>
      <x:c r="C52" s="338" t="str">
        <x:v>C — Environmental support</x:v>
      </x:c>
      <x:c r="D52" s="338" t="str">
        <x:v>2 — Fields / docs checked</x:v>
      </x:c>
      <x:c r="E52" s="338" t="str">
        <x:v>Colombo GNSS station metadata and RINEX data-center links; incident notices.
NEXT: Obtain RINEX through host center; TEC requires documented processing.</x:v>
      </x:c>
      <x:c r="F52" s="338" t="str">
        <x:v>https://network.igs.org/SGOC00LKA</x:v>
      </x:c>
    </x:row>
    <x:row r="53" ht="96" customHeight="1">
      <x:c r="A53" s="337" t="str">
        <x:v>IN-03</x:v>
      </x:c>
      <x:c r="B53" s="337" t="str">
        <x:v>India / Antarctic programs — NCPOR — Polar data archive</x:v>
      </x:c>
      <x:c r="C53" s="337" t="str">
        <x:v>C — Environmental support</x:v>
      </x:c>
      <x:c r="D53" s="337" t="str">
        <x:v>1 — Route / page only</x:v>
      </x:c>
      <x:c r="E53" s="337" t="str">
        <x:v>NCPOR mixes Get Data and Request Data.
NEXT: Select public file or request correct product; no universal open-access claim.</x:v>
      </x:c>
      <x:c r="F53" s="337" t="str">
        <x:v>https://data.ncpor.res.in/newhtml/</x:v>
      </x:c>
    </x:row>
    <x:row r="54" ht="96" customHeight="1">
      <x:c r="A54" s="338" t="str">
        <x:v>BD-03</x:v>
      </x:c>
      <x:c r="B54" s="338" t="str">
        <x:v>Bangladesh — EarthScope / UNAVCO — GNSS station data</x:v>
      </x:c>
      <x:c r="C54" s="338" t="str">
        <x:v>C — Environmental support</x:v>
      </x:c>
      <x:c r="D54" s="338" t="str">
        <x:v>1 — Route / page only</x:v>
      </x:c>
      <x:c r="E54" s="338" t="str">
        <x:v>Bangladesh ICPS GNSS dataset DOI/metadata confirmed.
NEXT: Follow archive, account terms and sample; not direct satellite Internet performance.</x:v>
      </x:c>
      <x:c r="F54" s="338" t="str">
        <x:v>https://www.unavco.org/data/doi/10.7283/T5GH9GRD</x:v>
      </x:c>
    </x:row>
    <x:row r="55" ht="96" customHeight="1">
      <x:c r="A55" s="337" t="str">
        <x:v>ISL-02</x:v>
      </x:c>
      <x:c r="B55" s="337" t="str">
        <x:v>Australian Christmas Island — IGS — XMIS00AUS</x:v>
      </x:c>
      <x:c r="C55" s="337" t="str">
        <x:v>C — Environmental support</x:v>
      </x:c>
      <x:c r="D55" s="337" t="str">
        <x:v>2 — Fields / docs checked</x:v>
      </x:c>
      <x:c r="E55" s="337" t="str">
        <x:v>Australian Christmas Island GNSS station and site incident notices.
NEXT: Get RINEX; recorded site outage is not end-to-end satellite-service outage.</x:v>
      </x:c>
      <x:c r="F55" s="337" t="str">
        <x:v>https://network.igs.org/XMIS00AUS</x:v>
      </x:c>
    </x:row>
    <x:row r="56" ht="96" customHeight="1">
      <x:c r="A56" s="338" t="str">
        <x:v>ISL-03</x:v>
      </x:c>
      <x:c r="B56" s="338" t="str">
        <x:v>Ascension Island — IGS — ASCG00SHN</x:v>
      </x:c>
      <x:c r="C56" s="338" t="str">
        <x:v>C — Environmental support</x:v>
      </x:c>
      <x:c r="D56" s="338" t="str">
        <x:v>2 — Fields / docs checked</x:v>
      </x:c>
      <x:c r="E56" s="338" t="str">
        <x:v>Ascension GNSS station metadata/data centers verified.
NEXT: Inspect RINEX sample and access credentials; not latency.</x:v>
      </x:c>
      <x:c r="F56" s="338" t="str">
        <x:v>https://network.igs.org/ASCG00SHN</x:v>
      </x:c>
    </x:row>
    <x:row r="57" ht="96" customHeight="1">
      <x:c r="A57" s="337" t="str">
        <x:v>ISL-04</x:v>
      </x:c>
      <x:c r="B57" s="337" t="str">
        <x:v>Diego Garcia / Cocos / Port Blair — GNSS study and Geoscience Australia data route</x:v>
      </x:c>
      <x:c r="C57" s="337" t="str">
        <x:v>C — Environmental support</x:v>
      </x:c>
      <x:c r="D57" s="337" t="str">
        <x:v>0 — Not verified</x:v>
      </x:c>
      <x:c r="E57" s="337" t="str">
        <x:v>Diego Garcia/Cocos/Port Blair GNSS-paper lead; DOI retrieval unresolved.
NEXT: Verify original paper and exact geodetic archive before adoption.</x:v>
      </x:c>
      <x:c r="F57" s="337" t="str">
        <x:v>https://doi.org/10.1029/2024JA033520</x:v>
      </x:c>
    </x:row>
    <x:row r="58" ht="96" customHeight="1">
      <x:c r="A58" s="338" t="str">
        <x:v>POL-01</x:v>
      </x:c>
      <x:c r="B58" s="338" t="str">
        <x:v>Norway / Svalbard / EISCAT — EISCAT portal</x:v>
      </x:c>
      <x:c r="C58" s="338" t="str">
        <x:v>C — Environmental support</x:v>
      </x:c>
      <x:c r="D58" s="338" t="str">
        <x:v>1 — Route / page only</x:v>
      </x:c>
      <x:c r="E58" s="338" t="str">
        <x:v>EISCAT portal requires registration/membership.
NEXT: Confirm permissible product; obtain public/authorized research access.</x:v>
      </x:c>
      <x:c r="F58" s="338" t="str">
        <x:v>https://portal.eiscat.se/</x:v>
      </x:c>
    </x:row>
    <x:row r="59" ht="96" customHeight="1">
      <x:c r="A59" s="337" t="str">
        <x:v>MX-02</x:v>
      </x:c>
      <x:c r="B59" s="337" t="str">
        <x:v>Mexico — UNAM — Mexican GNSS/TEC Zenodo record</x:v>
      </x:c>
      <x:c r="C59" s="337" t="str">
        <x:v>C — Environmental support</x:v>
      </x:c>
      <x:c r="D59" s="337" t="str">
        <x:v>0 — Not verified</x:v>
      </x:c>
      <x:c r="E59" s="337" t="str">
        <x:v>Mexico TEC Zenodo lead not reached this run.
NEXT: Retry DOI/repository; retain prior lead but do not call sample verified.</x:v>
      </x:c>
      <x:c r="F59" s="337" t="str">
        <x:v>https://zenodo.org/records/8412734</x:v>
      </x:c>
    </x:row>
    <x:row r="60" ht="96" customHeight="1">
      <x:c r="A60" s="338" t="str">
        <x:v>NCEI-XRS</x:v>
      </x:c>
      <x:c r="B60" s="338" t="str">
        <x:v>NOAA — GOES-R EXIS XRS/EUVS + flare products</x:v>
      </x:c>
      <x:c r="C60" s="338" t="str">
        <x:v>C — Environmental support</x:v>
      </x:c>
      <x:c r="D60" s="338" t="str">
        <x:v>2 — Fields / docs checked</x:v>
      </x:c>
      <x:c r="E60" s="338" t="str">
        <x:v>Josh Riley explicitly recommends XRS and EUVS 1-minute averages for timestamped disturbance onset. EXIS page exposes science-quality NetCDF and flare reports; GOES-18 annual XRS directory lists a 2024 file (~32 MB).
NEXT: Import one bounded interval and preserve UTC, irradiance units, quality flags and satellite ID. Do not treat flare end as network recovery.</x:v>
      </x:c>
      <x:c r="F60" s="338" t="str">
        <x:v>https://www.ncei.noaa.gov/products/goes-r-extreme-ultraviolet-xray-irradiance
https://data.ngdc.noaa.gov/platforms/solar-space-observing-satellites/goes/goes18/l2/data/xrsf-l2-avg1m_science/</x:v>
      </x:c>
    </x:row>
    <x:row r="61" ht="96" customHeight="1">
      <x:c r="A61" s="337" t="str">
        <x:v>NCEI-SSIES</x:v>
      </x:c>
      <x:c r="B61" s="337" t="str">
        <x:v>NOAA — DMSP SSIES</x:v>
      </x:c>
      <x:c r="C61" s="337" t="str">
        <x:v>C — Environmental support</x:v>
      </x:c>
      <x:c r="D61" s="337" t="str">
        <x:v>2 — Fields / docs checked</x:v>
      </x:c>
      <x:c r="E61" s="337" t="str">
        <x:v>Electron/ion density and temperature, ion drift; June1987–May2024 with gaps. Sensor includes scintillation meter; exact exported fields require inspection.
NEXT: Download one daily satellite file with format guide. Treat as historical, not guaranteed weekly new observations.</x:v>
      </x:c>
      <x:c r="F61" s="337" t="str">
        <x:v>https://www.ncei.noaa.gov/products/dmsp-ion-electron-scintillation</x:v>
      </x:c>
    </x:row>
    <x:row r="62" ht="96" customHeight="1">
      <x:c r="A62" s="338" t="str">
        <x:v>NCEI-MAG</x:v>
      </x:c>
      <x:c r="B62" s="338" t="str">
        <x:v>NOAA — GOES-R Magnetometer</x:v>
      </x:c>
      <x:c r="C62" s="338" t="str">
        <x:v>C — Environmental support</x:v>
      </x:c>
      <x:c r="D62" s="338" t="str">
        <x:v>2 — Fields / docs checked</x:v>
      </x:c>
      <x:c r="E62" s="338" t="str">
        <x:v>Magnetic vectors and coordinate/cadence documentation. Full L1b observations every0.1s; averages/product-level choices distinct.
NEXT: Select satellite/date and coordinate frame. Inspect quality bits and one daily NetCDF.</x:v>
      </x:c>
      <x:c r="F62" s="338" t="str">
        <x:v>https://www.ncei.noaa.gov/products/goes-r-magnetometer</x:v>
      </x:c>
    </x:row>
    <x:row r="63" ht="96" customHeight="1">
      <x:c r="A63" s="337" t="str">
        <x:v>NCEI-DSCOVR</x:v>
      </x:c>
      <x:c r="B63" s="337" t="str">
        <x:v>NOAA — DSCOVR</x:v>
      </x:c>
      <x:c r="C63" s="337" t="str">
        <x:v>C — Environmental support</x:v>
      </x:c>
      <x:c r="D63" s="337" t="str">
        <x:v>2 — Fields / docs checked</x:v>
      </x:c>
      <x:c r="E63" s="337" t="str">
        <x:v>Solar-wind plasma and magnetic vectors; 1min and higher-resolution product routes. Raw telemetry labels do not establish usable link latency.
NEXT: Select f1m/m1m historic product; verify actual end date and quality flags. No assumption of ongoing updates.</x:v>
      </x:c>
      <x:c r="F63" s="337" t="str">
        <x:v>https://www.ncei.noaa.gov/products/deep-space-climate-observatory-dscovr</x:v>
      </x:c>
    </x:row>
    <x:row r="64" ht="96" customHeight="1">
      <x:c r="A64" s="338" t="str">
        <x:v>NCEI-ANOM</x:v>
      </x:c>
      <x:c r="B64" s="338" t="str">
        <x:v>NOAA — Satellite anomalies</x:v>
      </x:c>
      <x:c r="C64" s="338" t="str">
        <x:v>C — Environmental support</x:v>
      </x:c>
      <x:c r="D64" s="338" t="str">
        <x:v>2 — Fields / docs checked</x:v>
      </x:c>
      <x:c r="E64" s="338" t="str">
        <x:v>Published incident spreadsheets incl. EXIS SpaceWire anomalies; secondary engineering/event context, not complete service log.
NEXT: Inspect timestamp, reset/fault and duration fields; do not infer time-at-risk, uptime or causality from sparse reports.</x:v>
      </x:c>
      <x:c r="F64" s="338" t="str">
        <x:v>https://www.ncei.noaa.gov/products/satellite-anomalies</x:v>
      </x:c>
    </x:row>
    <x:row r="65" ht="96" customHeight="1">
      <x:c r="A65" s="337" t="str">
        <x:v>NCEI-RSTN</x:v>
      </x:c>
      <x:c r="B65" s="337" t="str">
        <x:v>AFRL-derived RSTN / SOON at NOAA</x:v>
      </x:c>
      <x:c r="C65" s="337" t="str">
        <x:v>C — Environmental support</x:v>
      </x:c>
      <x:c r="D65" s="337" t="str">
        <x:v>2 — Fields / docs checked</x:v>
      </x:c>
      <x:c r="E65" s="337" t="str">
        <x:v>Public product inventory lists radio/optical solar observations; distinct from SCINDA restricted portal.
NEXT: Follow inventory to RSTN numeric archive. No direct communications latency or queue measurements implied.</x:v>
      </x:c>
      <x:c r="F65" s="337" t="str">
        <x:v>https://www.ncei.noaa.gov/sites/default/files/2025-08/NCEI_Space_Weather_Products.pdf</x:v>
      </x:c>
    </x:row>
    <x:row r="66" ht="96" customHeight="1">
      <x:c r="A66" s="338" t="str">
        <x:v>AI-UVIC-FEC</x:v>
      </x:c>
      <x:c r="B66" s="338" t="str">
        <x:v>UVic — Adaptive FEC / DRQN</x:v>
      </x:c>
      <x:c r="C66" s="338" t="str">
        <x:v>B — AI / task management</x:v>
      </x:c>
      <x:c r="D66" s="338" t="str">
        <x:v>2 — Fields / docs checked</x:v>
      </x:c>
      <x:c r="E66" s="338" t="str">
        <x:v>2026 paper uses deep RL to select repair packets, evaluated with real Starlink traces in eBPF emulation.
NEXT: Read public paper and request code/results; label transport-layer emulation, not orbital flight AI.</x:v>
      </x:c>
      <x:c r="F66" s="338" t="str">
        <x:v>https://onlineacademiccommunity.uvic.ca/starlink/</x:v>
      </x:c>
    </x:row>
    <x:row r="67" ht="96" customHeight="1">
      <x:c r="A67" s="337" t="str">
        <x:v>AI-UVIC-WRR</x:v>
      </x:c>
      <x:c r="B67" s="337" t="str">
        <x:v>UVic — FTRL-WRR scheduler</x:v>
      </x:c>
      <x:c r="C67" s="337" t="str">
        <x:v>B — AI / task management</x:v>
      </x:c>
      <x:c r="D67" s="337" t="str">
        <x:v>2 — Fields / docs checked</x:v>
      </x:c>
      <x:c r="E67" s="337" t="str">
        <x:v>2025 learning-based two-path scheduling paper; relevant to constrained-routing/task-service analogs.
NEXT: Obtain paper/code and measured task times; not evidence of an onboard flight scheduler.</x:v>
      </x:c>
      <x:c r="F67" s="337" t="str">
        <x:v>https://onlineacademiccommunity.uvic.ca/starlink/</x:v>
      </x:c>
    </x:row>
    <x:row r="68">
      <x:c r="A68" s="93" t="str">
        <x:v>NCEI-GLOTEC</x:v>
      </x:c>
      <x:c r="B68" s="93" t="str">
        <x:v>NOAA NCEI — US-TEC / GloTEC</x:v>
      </x:c>
      <x:c r="C68" s="93" t="str">
        <x:v>C — Environmental support</x:v>
      </x:c>
      <x:c r="D68" s="93" t="str">
        <x:v>2 — Fields / docs checked</x:v>
      </x:c>
      <x:c r="E68" s="93" t="str">
        <x:v>TEC products characterize ionospheric state. NCEI archives US-TEC 2004–2023 and GloTEC Feb2025–present; GloTEC assimilates ground GNSS and COSMIC-2 radio-occultation sTEC.
NEXT: use interactive/alternate download route to obtain one timestamped GloTEC sample; not network latency.</x:v>
      </x:c>
      <x:c r="F68" s="93" t="str">
        <x:v>https://www.ncei.noaa.gov/products/space-weather/ionospheric-program/total-electron-content</x:v>
      </x:c>
    </x:row>
    <x:row r="69">
      <x:c r="A69" s="93" t="str">
        <x:v>NCEI-IONO</x:v>
      </x:c>
      <x:c r="B69" s="93" t="str">
        <x:v>NOAA NCEI — Mirrion 2 ionosonde</x:v>
      </x:c>
      <x:c r="C69" s="93" t="str">
        <x:v>C — Environmental support</x:v>
      </x:c>
      <x:c r="D69" s="93" t="str">
        <x:v>2 — Fields / docs checked</x:v>
      </x:c>
      <x:c r="E69" s="93" t="str">
        <x:v>Worldwide ionosonde soundings, scaled characteristics and public MIDS description. The page's 'latency monitor' refers to data-processing timeliness, NOT satellite-link latency.
NEXT: verify an exact downloadable numeric station/day path; some legacy child links currently return 404/cache errors.</x:v>
      </x:c>
      <x:c r="F69" s="93" t="str">
        <x:v>https://www.ncei.noaa.gov/products/space-weather/legacy-data/mirrion-2-real-time-ionosonde</x:v>
      </x:c>
    </x:row>
    <x:row r="70">
      <x:c r="A70" s="93" t="str">
        <x:v>NCEI-EVENT</x:v>
      </x:c>
      <x:c r="B70" s="93" t="str">
        <x:v>NOAA / SWPC — Space Weather Event Reports</x:v>
      </x:c>
      <x:c r="C70" s="93" t="str">
        <x:v>C — Environmental support</x:v>
      </x:c>
      <x:c r="D70" s="93" t="str">
        <x:v>2 — Fields / docs checked</x:v>
      </x:c>
      <x:c r="E70" s="93" t="str">
        <x:v>Daily timestamped event reports are directly archived by year/month from 2011 onward; useful for event-window selection and documented anomalies.
NEXT: parse one text report and map event timestamps; do not equate reported space-weather event duration with service outage duration.</x:v>
      </x:c>
      <x:c r="F70" s="93" t="str">
        <x:v>https://www.ngdc.noaa.gov/stp/space-weather/swpc-products/daily_reports/space_weather_event_reports/</x:v>
      </x:c>
    </x:row>
    <x:row r="71">
      <x:c r="A71" s="93" t="str">
        <x:v>NCEI-SGAS</x:v>
      </x:c>
      <x:c r="B71" s="93" t="str">
        <x:v>NOAA / SWPC — Solar and Geophysical Activity Summary</x:v>
      </x:c>
      <x:c r="C71" s="93" t="str">
        <x:v>C — Environmental support</x:v>
      </x:c>
      <x:c r="D71" s="93" t="str">
        <x:v>2 — Fields / docs checked</x:v>
      </x:c>
      <x:c r="E71" s="93" t="str">
        <x:v>Daily summary of significant solar/geophysical events and indices, including flares, proton events and geomagnetic activity. Useful corroborating event context, not direct network performance.
NEXT: retrieve historical text for selected interval and align to UTC network observations.</x:v>
      </x:c>
      <x:c r="F71" s="93" t="str">
        <x:v>https://www.spaceweather.gov/products/solar-and-geophysical-activity-summary</x:v>
      </x:c>
    </x:row>
    <x:row r="72">
      <x:c r="A72" t="str">
        <x:v>INT-56</x:v>
      </x:c>
      <x:c r="B72" t="str">
        <x:v>Chile — CINC / Universidad Adventista de Chile</x:v>
      </x:c>
      <x:c r="C72" t="str">
        <x:v>C — Environmental support</x:v>
      </x:c>
      <x:c r="D72" t="str">
        <x:v>3 — Numerical sample inspected</x:v>
      </x:c>
      <x:c r="E72" t="str">
        <x:v>Custodian confirms ionospheric record dating to 1957: Concepción historically, now Chillán; deployments at La Serena and King George Island, Antarctica. Availability graphic reports 583,188 PNG ionograms and 14,520 scaled .DAT files through 19 Sep 2026. On 21 Sep 2026, Bravo delivered numerical scaled .DAT packages from King George Island and several Chillán days. Inspection confirms machine-readable time-series records with embedded field/qualifier definitions. Delivered KGI sample: 1,232 daily files, 1 Mar 1986–31 Dec 1991, 33,960 observations, typically hourly; strong foF/hF/M(3000)F coverage, no populated TEC/hmF2 observed in sample. Delivered Chillán sample: 25 daily files, 4–31 Dec 2020, 2,518 observations, typically 15-minute cadence; populated foF, hF, hmF2 and TEC among other ionospheric fields. Preserve station/instrument/cadence provenance; do not merge as homogeneous sensors.
NEXT: normalize representative variables and qualifier/quality fields; obtain/confirm formal units, missing-value semantics, archive/download path, preferred citation/licensing; select defensible disturbance-state classification before DES adoption. Environmental input only — not network outage evidence.</x:v>
      </x:c>
      <x:c r="F72" t="str">
        <x:v>http://www.meteorologiaespacial.cl/</x:v>
      </x:c>
    </x:row>
    <x:row r="73">
      <x:c r="A73" t="str">
        <x:v>INT-57</x:v>
      </x:c>
      <x:c r="B73" t="str">
        <x:v>Argentina / Patagonia — Instituto Balseiro / CNEA — Pablo Costanzo Caso</x:v>
      </x:c>
      <x:c r="C73" t="str">
        <x:v>D — Reference / referral / future measurement opportunity</x:v>
      </x:c>
      <x:c r="D73" t="str">
        <x:v>1 — Source/contact confirmed; no dataset</x:v>
      </x:c>
      <x:c r="E73" t="str">
        <x:v>Provider response 22 Sep 2026: requested data are not currently available. A VHF/UHF ground station was developed and kept active for &gt;3 years but later dismantled because of funding constraints. Costanzo is willing to collaborate and collect measured data from Patagonia if a funded project becomes possible.
NEXT: no immediate data-fit action. If funding is pursued, specify timestamped communications variables (e.g., latency/RTT where measurable, throughput, packet/frame error or loss, RSSI/SNR/link margin, contact-window state, interruption/recovery, station/spacecraft IDs, cadence, QC/missing semantics) before collection.</x:v>
      </x:c>
      <x:c r="F73"/>
    </x:row>
    <x:row r="74">
      <x:c r="A74" t="str">
        <x:v>INT-AU-ACCC</x:v>
      </x:c>
      <x:c r="B74" t="str">
        <x:v>Australia — ACCC Measuring Broadband Australia</x:v>
      </x:c>
      <x:c r="C74" t="str">
        <x:v>A — Direct network</x:v>
      </x:c>
      <x:c r="D74" t="str">
        <x:v>2 — Fields / docs checked</x:v>
      </x:c>
      <x:c r="E74" t="str">
        <x:v>Provider response 23 Sep 2026 confirms more fulsome public historical data on data.gov.au and no special research-use conditions beyond appropriate attribution. MBA reports include Starlink-relevant broadband metrics; exact downloadable release fields/granularity still need numerical inspection.
NEXT: search/download Starlink-containing MBA release(s), inspect latency/RTT, upload/download throughput, packet loss, outage frequency/duration, timestamps/cadence, regional metadata and missing-vs-outage semantics; freeze a reproducible sample.</x:v>
      </x:c>
      <x:c r="F74" t="str">
        <x:v>https://data.gov.au/</x:v>
      </x:c>
    </x:row>
  </x:sheetData>
  <x:mergeCells>
    <x:mergeCell ref="A1:F1"/>
    <x:mergeCell ref="A2:F2"/>
  </x:mergeCells>
  <x:conditionalFormatting sqref="C5:C67">
    <x:cfRule type="expression" dxfId="10" priority="1">
      <x:formula>$C5="A — Direct network"</x:formula>
    </x:cfRule>
    <x:cfRule type="expression" dxfId="11" priority="2">
      <x:formula>$C5="B — AI / task management"</x:formula>
    </x:cfRule>
    <x:cfRule type="expression" dxfId="12" priority="3">
      <x:formula>$C5="C — Environmental support"</x:formula>
    </x:cfRule>
    <x:cfRule type="expression" dxfId="13" priority="4">
      <x:formula>$C5="D — Reference / referral"</x:formula>
    </x:cfRule>
    <x:cfRule type="expression" dxfId="14" priority="5">
      <x:formula>$C5="HOLD — Restricted"</x:formula>
    </x:cfRule>
  </x:conditionalFormatting>
  <x:conditionalFormatting sqref="D5:D67">
    <x:cfRule type="expression" dxfId="15" priority="6">
      <x:formula>LEFT(D5,1)="0"</x:formula>
    </x:cfRule>
    <x:cfRule type="expression" dxfId="16" priority="7">
      <x:formula>LEFT(D5,1)="1"</x:formula>
    </x:cfRule>
    <x:cfRule type="expression" dxfId="17" priority="8">
      <x:formula>LEFT(D5,1)="2"</x:formula>
    </x:cfRule>
  </x:conditionalFormatting>
  <x:dataValidations count="2">
    <x:dataValidation type="list" sqref="C5:C67">
      <x:formula1>"A — Direct network,B — AI / task management,C — Environmental support,D — Reference / referral,HOLD — Restricted"</x:formula1>
    </x:dataValidation>
    <x:dataValidation type="list" sqref="D5:D67">
      <x:formula1>"0 — Not verified,1 — Route / page only,2 — Fields / docs checked,3 — Numeric sample checked,4 — Adopted / validated"</x:formula1>
    </x:dataValidation>
  </x:dataValidations>
  <x:pageMargins left="0.7" right="0.7" top="0.75" bottom="0.75" header="0.3" footer="0.3"/>
  <x:tableParts count="1">
    <x:tablePart xmlns:r="http://schemas.openxmlformats.org/officeDocument/2006/relationships" r:id="R92808f6689ed449a"/>
  </x:tableParts>
</x:worksheet>
</file>

<file path=xl/worksheets/sheet27.xml><?xml version="1.0" encoding="utf-8"?>
<x:worksheet xmlns:x="http://schemas.openxmlformats.org/spreadsheetml/2006/main">
  <x:sheetFormatPr defaultRowHeight="15"/>
  <x:cols>
    <x:col min="1" max="1" width="50" hidden="0" customWidth="1"/>
    <x:col min="2" max="2" width="33" hidden="0" customWidth="1"/>
    <x:col min="3" max="3" width="27" hidden="0" customWidth="1"/>
    <x:col min="4" max="4" width="13" hidden="0" customWidth="1"/>
    <x:col min="5" max="5" width="62" hidden="0" customWidth="1"/>
    <x:col min="6" max="6" width="30" hidden="0" customWidth="1"/>
  </x:cols>
  <x:sheetData>
    <x:row r="1" ht="30" customHeight="1">
      <x:c r="A1" s="329" t="str">
        <x:v>LINK CHECKS | Full inventory, explicit test coverage</x:v>
      </x:c>
      <x:c r="B1" s="329"/>
      <x:c r="C1" s="329"/>
      <x:c r="D1" s="329"/>
      <x:c r="E1" s="329"/>
      <x:c r="F1" s="329"/>
    </x:row>
    <x:row r="2" ht="42" customHeight="1">
      <x:c r="A2" s="332" t="str">
        <x:v>Browser results only. Local scripting had no outbound DNS and is not evidence a site is down. Failed tool fetches and unsupported CSV/size limits are NOT dead links. Untested URLs remain pending.</x:v>
      </x:c>
      <x:c r="B2" s="332"/>
      <x:c r="C2" s="332"/>
      <x:c r="D2" s="332"/>
      <x:c r="E2" s="332"/>
      <x:c r="F2" s="332"/>
    </x:row>
    <x:row r="4" ht="30" customHeight="1">
      <x:c r="A4" s="334" t="str">
        <x:v>Locator</x:v>
      </x:c>
      <x:c r="B4" s="334" t="str">
        <x:v>Original location / provenance</x:v>
      </x:c>
      <x:c r="C4" s="334" t="str">
        <x:v>15 Sep test result</x:v>
      </x:c>
      <x:c r="D4" s="334" t="str">
        <x:v>Checked</x:v>
      </x:c>
      <x:c r="E4" s="334" t="str">
        <x:v>What was actually verified</x:v>
      </x:c>
      <x:c r="F4" s="334" t="str">
        <x:v>Numeric sample status</x:v>
      </x:c>
    </x:row>
    <x:row r="5" ht="88" customHeight="1">
      <x:c r="A5" s="337" t="str">
        <x:v>http://cplat.fcaglp.unlp.edu.ar/</x:v>
      </x:c>
      <x:c r="B5" s="337" t="str">
        <x:v>Data register: Remote Sources 15 Sep!B25</x:v>
      </x:c>
      <x:c r="C5" s="337" t="str">
        <x:v>NOT CHECKED THIS PASS</x:v>
      </x:c>
      <x:c r="D5" s="337" t="str"/>
      <x:c r="E5" s="337" t="str">
        <x:v>Retained from source workbook. No current page/file test completed; prior claims are not upgraded.</x:v>
      </x:c>
      <x:c r="F5" s="337" t="str">
        <x:v>No numerical observation file imported in this pass.</x:v>
      </x:c>
    </x:row>
    <x:row r="6" ht="88" customHeight="1">
      <x:c r="A6" s="338" t="str">
        <x:v>https://ai.jpl.nasa.gov/public/people/chien/</x:v>
      </x:c>
      <x:c r="B6" s="338" t="str">
        <x:v>Data register: Source Status!H15; Data register: Domestic Contacts!B26; Data register: Domestic Contacts!B27; Data register: Source Directory!G40; Citation register: Research Artifacts!E20</x:v>
      </x:c>
      <x:c r="C6" s="338" t="str">
        <x:v>PAGE / DOCUMENT VERIFIED</x:v>
      </x:c>
      <x:c r="D6" s="338" t="str">
        <x:v>2026-09-15</x:v>
      </x:c>
      <x:c r="E6" s="338" t="str">
        <x:v>Researcher profile; use ASE project for evidence of onboard planning.</x:v>
      </x:c>
      <x:c r="F6" s="338" t="str">
        <x:v>No numerical observation file imported in this pass.</x:v>
      </x:c>
    </x:row>
    <x:row r="7" ht="88" customHeight="1">
      <x:c r="A7" s="337" t="str">
        <x:v>https://ai.jpl.nasa.gov/public/projects/ase/</x:v>
      </x:c>
      <x:c r="B7" s="337" t="str">
        <x:v>15 Sep verification / supplemental product</x:v>
      </x:c>
      <x:c r="C7" s="337" t="str">
        <x:v>PAGE / DOCUMENT VERIFIED</x:v>
      </x:c>
      <x:c r="D7" s="337" t="str">
        <x:v>2026-09-15</x:v>
      </x:c>
      <x:c r="E7" s="337" t="str">
        <x:v>Historical flight autonomy/planning/execution project; raw task logs not supplied.</x:v>
      </x:c>
      <x:c r="F7" s="337" t="str">
        <x:v>No numerical observation file imported in this pass.</x:v>
      </x:c>
    </x:row>
    <x:row r="8" ht="88" customHeight="1">
      <x:c r="A8" s="338" t="str">
        <x:v>https://arxiv.org/abs/2402.16448</x:v>
      </x:c>
      <x:c r="B8" s="338" t="str">
        <x:v>Data register: POC Register!K4; Data register: Research Fit!G4; Data register: Source Directory!G8; Citation register: Intl Data Requests!J8</x:v>
      </x:c>
      <x:c r="C8" s="338" t="str">
        <x:v>PAGE / DOCUMENT VERIFIED</x:v>
      </x:c>
      <x:c r="D8" s="338" t="str">
        <x:v>2026-09-15</x:v>
      </x:c>
      <x:c r="E8" s="338" t="str">
        <x:v>WetLinks paper metadata and abstract.</x:v>
      </x:c>
      <x:c r="F8" s="338" t="str">
        <x:v>No numerical observation file imported in this pass.</x:v>
      </x:c>
    </x:row>
    <x:row r="9" ht="88" customHeight="1">
      <x:c r="A9" s="337" t="str">
        <x:v>https://arxiv.org/html/2408.09954v1</x:v>
      </x:c>
      <x:c r="B9" s="337" t="str">
        <x:v>Data register: Expansion 14 Sep!B68</x:v>
      </x:c>
      <x:c r="C9" s="337" t="str">
        <x:v>NOT CHECKED THIS PASS</x:v>
      </x:c>
      <x:c r="D9" s="337" t="str"/>
      <x:c r="E9" s="337" t="str">
        <x:v>Retained from source workbook. No current page/file test completed; prior claims are not upgraded.</x:v>
      </x:c>
      <x:c r="F9" s="337" t="str">
        <x:v>No numerical observation file imported in this pass.</x:v>
      </x:c>
    </x:row>
    <x:row r="10" ht="88" customHeight="1">
      <x:c r="A10" s="338" t="str">
        <x:v>https://atlas.ripe.net/</x:v>
      </x:c>
      <x:c r="B10" s="338" t="str">
        <x:v>Data register: POC Register!K5; Data register: Research Fit!G5; Data register: Source Directory!G9; Citation register: Intl Data Requests!J9</x:v>
      </x:c>
      <x:c r="C10" s="338" t="str">
        <x:v>SHELL ONLY</x:v>
      </x:c>
      <x:c r="D10" s="338" t="str">
        <x:v>2026-09-15</x:v>
      </x:c>
      <x:c r="E10" s="338" t="str">
        <x:v>Dynamic shell reached; deeper API/data check remains.</x:v>
      </x:c>
      <x:c r="F10" s="338" t="str">
        <x:v>No numerical observation file imported in this pass.</x:v>
      </x:c>
    </x:row>
    <x:row r="11" ht="88" customHeight="1">
      <x:c r="A11" s="337" t="str">
        <x:v>https://bdren.net.bd/contact</x:v>
      </x:c>
      <x:c r="B11" s="337" t="str">
        <x:v>Data register: Remote Sources 15 Sep!B105; Data register: Source Directory!G32</x:v>
      </x:c>
      <x:c r="C11" s="337" t="str">
        <x:v>PAGE / DOCUMENT VERIFIED</x:v>
      </x:c>
      <x:c r="D11" s="337" t="str">
        <x:v>2026-09-15</x:v>
      </x:c>
      <x:c r="E11" s="337" t="str">
        <x:v>Bangladesh academic-network contact; not a downloaded dataset.</x:v>
      </x:c>
      <x:c r="F11" s="337" t="str">
        <x:v>No numerical observation file imported in this pass.</x:v>
      </x:c>
    </x:row>
    <x:row r="12" ht="88" customHeight="1">
      <x:c r="A12" s="338" t="str">
        <x:v>https://catalog.data.gov/dataset/tristan-da-cunha-tdc-ground-based-vector-magnetic-field-l2-1-0-min-data</x:v>
      </x:c>
      <x:c r="B12" s="338" t="str">
        <x:v>Data register: Remote Sources 15 Sep!B126</x:v>
      </x:c>
      <x:c r="C12" s="338" t="str">
        <x:v>NOT CHECKED THIS PASS</x:v>
      </x:c>
      <x:c r="D12" s="338" t="str"/>
      <x:c r="E12" s="338" t="str">
        <x:v>Retained from source workbook. No current page/file test completed; prior claims are not upgraded.</x:v>
      </x:c>
      <x:c r="F12" s="338" t="str">
        <x:v>No numerical observation file imported in this pass.</x:v>
      </x:c>
    </x:row>
    <x:row r="13" ht="88" customHeight="1">
      <x:c r="A13" s="337" t="str">
        <x:v>https://celestrak.org/NORAD/elements/</x:v>
      </x:c>
      <x:c r="B13" s="337" t="str">
        <x:v>Data register: Domestic Contacts!B92; Citation register: Research Artifacts!E9</x:v>
      </x:c>
      <x:c r="C13" s="337" t="str">
        <x:v>NOT CHECKED THIS PASS</x:v>
      </x:c>
      <x:c r="D13" s="337" t="str"/>
      <x:c r="E13" s="337" t="str">
        <x:v>Retained from source workbook. No current page/file test completed; prior claims are not upgraded.</x:v>
      </x:c>
      <x:c r="F13" s="337" t="str">
        <x:v>No numerical observation file imported in this pass.</x:v>
      </x:c>
    </x:row>
    <x:row r="14" ht="88" customHeight="1">
      <x:c r="A14" s="338" t="str">
        <x:v>https://cires-stp.github.io/goesr-spwx-examples/</x:v>
      </x:c>
      <x:c r="B14" s="338" t="str">
        <x:v>15 Sep verification / supplemental product</x:v>
      </x:c>
      <x:c r="C14" s="338" t="str">
        <x:v>PAGE / DOCUMENT VERIFIED</x:v>
      </x:c>
      <x:c r="D14" s="338" t="str">
        <x:v>2026-09-15</x:v>
      </x:c>
      <x:c r="E14" s="338" t="str">
        <x:v>Official-linked example software documentation for reading/downloading GOES products.</x:v>
      </x:c>
      <x:c r="F14" s="338" t="str">
        <x:v>No numerical observation file imported in this pass.</x:v>
      </x:c>
    </x:row>
    <x:row r="15" ht="88" customHeight="1">
      <x:c r="A15" s="337" t="str">
        <x:v>https://data.mendeley.com/datasets/npygym5sf6/1</x:v>
      </x:c>
      <x:c r="B15" s="337" t="str">
        <x:v>Data register: Remote Sources 15 Sep!B96; Data register: Source Directory!G31</x:v>
      </x:c>
      <x:c r="C15" s="337" t="str">
        <x:v>PAGE / DOCUMENT VERIFIED</x:v>
      </x:c>
      <x:c r="D15" s="337" t="str">
        <x:v>2026-09-15</x:v>
      </x:c>
      <x:c r="E15" s="337" t="str">
        <x:v>Dataset metadata: UT hours + VLF amplitude; CC BY 4.0; no latency.</x:v>
      </x:c>
      <x:c r="F15" s="337" t="str">
        <x:v>No numerical observation file imported in this pass.</x:v>
      </x:c>
    </x:row>
    <x:row r="16" ht="88" customHeight="1">
      <x:c r="A16" s="338" t="str">
        <x:v>https://data.nasa.gov/dataset/alouette-1-topside-electron-density-profiles-manually-scaled-at-crc-1ea4e</x:v>
      </x:c>
      <x:c r="B16" s="338" t="str">
        <x:v>Data register: Remote Sources 15 Sep!B148</x:v>
      </x:c>
      <x:c r="C16" s="338" t="str">
        <x:v>NOT CHECKED THIS PASS</x:v>
      </x:c>
      <x:c r="D16" s="338" t="str"/>
      <x:c r="E16" s="338" t="str">
        <x:v>Retained from source workbook. No current page/file test completed; prior claims are not upgraded.</x:v>
      </x:c>
      <x:c r="F16" s="338" t="str">
        <x:v>No numerical observation file imported in this pass.</x:v>
      </x:c>
    </x:row>
    <x:row r="17" ht="88" customHeight="1">
      <x:c r="A17" s="337" t="str">
        <x:v>https://data.ncpor.res.in/newhtml/</x:v>
      </x:c>
      <x:c r="B17" s="337" t="str">
        <x:v>Data register: Access and Sampling!B58; Data register: Source Directory!G54</x:v>
      </x:c>
      <x:c r="C17" s="337" t="str">
        <x:v>PAGE / DOCUMENT VERIFIED</x:v>
      </x:c>
      <x:c r="D17" s="337" t="str">
        <x:v>2026-09-15</x:v>
      </x:c>
      <x:c r="E17" s="337" t="str">
        <x:v>Mixed Get Data/Request Data catalog; no blanket open download claim.</x:v>
      </x:c>
      <x:c r="F17" s="337" t="str">
        <x:v>No numerical observation file imported in this pass.</x:v>
      </x:c>
    </x:row>
    <x:row r="18" ht="88" customHeight="1">
      <x:c r="A18" s="338" t="str">
        <x:v>https://data.ngdc.noaa.gov/platforms/solar-space-observing-satellites/goes/goes16/l2/docs/GOES_Flare_Report_ReadMe.pdf</x:v>
      </x:c>
      <x:c r="B18" s="338" t="str">
        <x:v>15 Sep verification / supplemental product</x:v>
      </x:c>
      <x:c r="C18" s="338" t="str">
        <x:v>PAGE / DOCUMENT VERIFIED</x:v>
      </x:c>
      <x:c r="D18" s="338" t="str">
        <x:v>2026-09-15</x:v>
      </x:c>
      <x:c r="E18" s="338" t="str">
        <x:v>ReadMe 10Jun2026; field table visually inspected, UTC and blank-value conventions documented.</x:v>
      </x:c>
      <x:c r="F18" s="338" t="str">
        <x:v>No numerical observation file imported in this pass.</x:v>
      </x:c>
    </x:row>
    <x:row r="19" ht="88" customHeight="1">
      <x:c r="A19" s="337" t="str">
        <x:v>https://data.ngdc.noaa.gov/platforms/solar-space-observing-satellites/goes/multi/l2/data/xrsf-l2-flrpt_science/csv/</x:v>
      </x:c>
      <x:c r="B19" s="337" t="str">
        <x:v>15 Sep verification / supplemental product</x:v>
      </x:c>
      <x:c r="C19" s="337" t="str">
        <x:v>PAGE / DOCUMENT VERIFIED</x:v>
      </x:c>
      <x:c r="D19" s="337" t="str">
        <x:v>2026-09-15</x:v>
      </x:c>
      <x:c r="E19" s="337" t="str">
        <x:v>Direct NOAA directory lists yearly CSVs and metadata JSON.</x:v>
      </x:c>
      <x:c r="F19" s="337" t="str">
        <x:v>No numerical observation file imported in this pass.</x:v>
      </x:c>
    </x:row>
    <x:row r="20" ht="88" customHeight="1">
      <x:c r="A20" s="338" t="str">
        <x:v>https://data.ngdc.noaa.gov/platforms/solar-space-observing-satellites/goes/multi/l2/data/xrsf-l2-flrpt_science/csv/sci_xrsf-l2-flrpt_geo_metadata.json</x:v>
      </x:c>
      <x:c r="B20" s="338" t="str">
        <x:v>15 Sep verification / supplemental product</x:v>
      </x:c>
      <x:c r="C20" s="338" t="str">
        <x:v>PAGE / DOCUMENT VERIFIED</x:v>
      </x:c>
      <x:c r="D20" s="338" t="str">
        <x:v>2026-09-15</x:v>
      </x:c>
      <x:c r="E20" s="338" t="str">
        <x:v>Metadata JSON read: UTC, PT1M, fields, unrestricted reuse; not flare numerical observations.</x:v>
      </x:c>
      <x:c r="F20" s="338" t="str">
        <x:v>No numerical observation file imported in this pass.</x:v>
      </x:c>
    </x:row>
    <x:row r="21" ht="88" customHeight="1">
      <x:c r="A21" s="337" t="str">
        <x:v>https://data.ngdc.noaa.gov/platforms/solar-space-observing-satellites/goes/multi/l2/data/xrsf-l2-flrpt_science/csv/sci_xrsf-l2-flrpt_geo_y2024_v1-0-1.csv</x:v>
      </x:c>
      <x:c r="B21" s="337" t="str">
        <x:v>15 Sep verification / supplemental product</x:v>
      </x:c>
      <x:c r="C21" s="337" t="str">
        <x:v>FETCH / PARSE UNRESOLVED</x:v>
      </x:c>
      <x:c r="D21" s="337" t="str">
        <x:v>2026-09-15</x:v>
      </x:c>
      <x:c r="E21" s="337" t="str">
        <x:v>Server returned text/csv but browser tool cannot parse this content type. Not a broken link; numeric values uninspected.</x:v>
      </x:c>
      <x:c r="F21" s="337" t="str">
        <x:v>No numerical observation file imported in this pass.</x:v>
      </x:c>
    </x:row>
    <x:row r="22" ht="88" customHeight="1">
      <x:c r="A22" s="338" t="str">
        <x:v>https://doi.org/10.1007/s12243-026-01189-2</x:v>
      </x:c>
      <x:c r="B22" s="338" t="str">
        <x:v>Data register: Expansion 14 Sep!B56; Data register: Verified Work Locators!E9; Data register: Remote Sources 15 Sep!B54; Data register: Source Directory!G23; Citation register: Research Artifacts!E15</x:v>
      </x:c>
      <x:c r="C22" s="338" t="str">
        <x:v>NOT CHECKED THIS PASS</x:v>
      </x:c>
      <x:c r="D22" s="338" t="str"/>
      <x:c r="E22" s="338" t="str">
        <x:v>Retained from source workbook. No current page/file test completed; prior claims are not upgraded.</x:v>
      </x:c>
      <x:c r="F22" s="338" t="str">
        <x:v>No numerical observation file imported in this pass.</x:v>
      </x:c>
    </x:row>
    <x:row r="23" ht="88" customHeight="1">
      <x:c r="A23" s="337" t="str">
        <x:v>https://doi.org/10.1017/cfl.2025.10036</x:v>
      </x:c>
      <x:c r="B23" s="337" t="str">
        <x:v>Data register: Domestic Contacts!B78; Data register: Source Directory!G44</x:v>
      </x:c>
      <x:c r="C23" s="337" t="str">
        <x:v>PAGE / DOCUMENT VERIFIED</x:v>
      </x:c>
      <x:c r="D23" s="337" t="str">
        <x:v>2026-09-15</x:v>
      </x:c>
      <x:c r="E23" s="337" t="str">
        <x:v>AI-governance article, used for author contact; NOT RAND resilience dataset/report.</x:v>
      </x:c>
      <x:c r="F23" s="337" t="str">
        <x:v>No numerical observation file imported in this pass.</x:v>
      </x:c>
    </x:row>
    <x:row r="24" ht="88" customHeight="1">
      <x:c r="A24" s="338" t="str">
        <x:v>https://doi.org/10.1029/2024JA033520</x:v>
      </x:c>
      <x:c r="B24" s="338" t="str">
        <x:v>Data register: Access and Sampling!B86; Data register: Source Directory!G58</x:v>
      </x:c>
      <x:c r="C24" s="338" t="str">
        <x:v>FETCH / PARSE UNRESOLVED</x:v>
      </x:c>
      <x:c r="D24" s="338" t="str">
        <x:v>2026-09-15</x:v>
      </x:c>
      <x:c r="E24" s="338" t="str">
        <x:v>DOI fetch unresolved here; article/data claim not reverified.</x:v>
      </x:c>
      <x:c r="F24" s="338" t="str">
        <x:v>No numerical observation file imported in this pass.</x:v>
      </x:c>
    </x:row>
    <x:row r="25" ht="88" customHeight="1">
      <x:c r="A25" s="337" t="str">
        <x:v>https://doi.org/10.1109/MeditCom64437.2025.11104426</x:v>
      </x:c>
      <x:c r="B25" s="337" t="str">
        <x:v>Data register: Expansion 14 Sep!B67; Data register: Verified Work Locators!E10; Data register: Source Directory!G24; Citation register: Research Artifacts!E16</x:v>
      </x:c>
      <x:c r="C25" s="337" t="str">
        <x:v>NOT CHECKED THIS PASS</x:v>
      </x:c>
      <x:c r="D25" s="337" t="str"/>
      <x:c r="E25" s="337" t="str">
        <x:v>Retained from source workbook. No current page/file test completed; prior claims are not upgraded.</x:v>
      </x:c>
      <x:c r="F25" s="337" t="str">
        <x:v>No numerical observation file imported in this pass.</x:v>
      </x:c>
    </x:row>
    <x:row r="26" ht="88" customHeight="1">
      <x:c r="A26" s="338" t="str">
        <x:v>https://doi.org/10.1145/3748749.3749090</x:v>
      </x:c>
      <x:c r="B26" s="338" t="str">
        <x:v>Data register: Expansion 14 Sep!B23; Data register: Verified Work Locators!E6; Data register: Source Directory!G20; Citation register: Research Artifacts!E12</x:v>
      </x:c>
      <x:c r="C26" s="338" t="str">
        <x:v>NOT CHECKED THIS PASS</x:v>
      </x:c>
      <x:c r="D26" s="338" t="str"/>
      <x:c r="E26" s="338" t="str">
        <x:v>Retained from source workbook. No current page/file test completed; prior claims are not upgraded.</x:v>
      </x:c>
      <x:c r="F26" s="338" t="str">
        <x:v>No numerical observation file imported in this pass.</x:v>
      </x:c>
    </x:row>
    <x:row r="27" ht="88" customHeight="1">
      <x:c r="A27" s="337" t="str">
        <x:v>https://doi.org/10.1145/3789240.3827586</x:v>
      </x:c>
      <x:c r="B27" s="337" t="str">
        <x:v>Data register: POC Register!AA4; Data register: Research Fit!L4</x:v>
      </x:c>
      <x:c r="C27" s="337" t="str">
        <x:v>NOT CHECKED THIS PASS</x:v>
      </x:c>
      <x:c r="D27" s="337" t="str"/>
      <x:c r="E27" s="337" t="str">
        <x:v>Retained from source workbook. No current page/file test completed; prior claims are not upgraded.</x:v>
      </x:c>
      <x:c r="F27" s="337" t="str">
        <x:v>No numerical observation file imported in this pass.</x:v>
      </x:c>
    </x:row>
    <x:row r="28" ht="88" customHeight="1">
      <x:c r="A28" s="338" t="str">
        <x:v>https://doi.org/10.13140/RG.2.2.11408.48640</x:v>
      </x:c>
      <x:c r="B28" s="338" t="str">
        <x:v>Citation register: Research Library!U25</x:v>
      </x:c>
      <x:c r="C28" s="338" t="str">
        <x:v>NOT CHECKED THIS PASS</x:v>
      </x:c>
      <x:c r="D28" s="338" t="str"/>
      <x:c r="E28" s="338" t="str">
        <x:v>Retained from source workbook. No current page/file test completed; prior claims are not upgraded.</x:v>
      </x:c>
      <x:c r="F28" s="338" t="str">
        <x:v>No numerical observation file imported in this pass.</x:v>
      </x:c>
    </x:row>
    <x:row r="29" ht="88" customHeight="1">
      <x:c r="A29" s="337" t="str">
        <x:v>https://doi.org/10.13140/RG.2.2.12374.10567</x:v>
      </x:c>
      <x:c r="B29" s="337" t="str">
        <x:v>Citation register: Research Library!U26</x:v>
      </x:c>
      <x:c r="C29" s="337" t="str">
        <x:v>NOT CHECKED THIS PASS</x:v>
      </x:c>
      <x:c r="D29" s="337" t="str"/>
      <x:c r="E29" s="337" t="str">
        <x:v>Retained from source workbook. No current page/file test completed; prior claims are not upgraded.</x:v>
      </x:c>
      <x:c r="F29" s="337" t="str">
        <x:v>No numerical observation file imported in this pass.</x:v>
      </x:c>
    </x:row>
    <x:row r="30" ht="88" customHeight="1">
      <x:c r="A30" s="338" t="str">
        <x:v>https://doi.org/10.13140/RG.2.2.16882.16329</x:v>
      </x:c>
      <x:c r="B30" s="338" t="str">
        <x:v>Citation register: Research Library!U24</x:v>
      </x:c>
      <x:c r="C30" s="338" t="str">
        <x:v>NOT CHECKED THIS PASS</x:v>
      </x:c>
      <x:c r="D30" s="338" t="str"/>
      <x:c r="E30" s="338" t="str">
        <x:v>Retained from source workbook. No current page/file test completed; prior claims are not upgraded.</x:v>
      </x:c>
      <x:c r="F30" s="338" t="str">
        <x:v>No numerical observation file imported in this pass.</x:v>
      </x:c>
    </x:row>
    <x:row r="31" ht="88" customHeight="1">
      <x:c r="A31" s="337" t="str">
        <x:v>https://doi.org/10.26249/FK2/YXPS4G</x:v>
      </x:c>
      <x:c r="B31" s="337" t="str">
        <x:v>Data register: POC Register!AA4; Data register: Research Fit!L4</x:v>
      </x:c>
      <x:c r="C31" s="337" t="str">
        <x:v>NOT CHECKED THIS PASS</x:v>
      </x:c>
      <x:c r="D31" s="337" t="str"/>
      <x:c r="E31" s="337" t="str">
        <x:v>Retained from source workbook. No current page/file test completed; prior claims are not upgraded.</x:v>
      </x:c>
      <x:c r="F31" s="337" t="str">
        <x:v>No numerical observation file imported in this pass.</x:v>
      </x:c>
    </x:row>
    <x:row r="32" ht="88" customHeight="1">
      <x:c r="A32" s="338" t="str">
        <x:v>https://doi.org/10.4121/0bf59468-e5cb-433f-aeb2-e04cf694b65c</x:v>
      </x:c>
      <x:c r="B32" s="338" t="str">
        <x:v>Citation register: Research Artifacts!E18</x:v>
      </x:c>
      <x:c r="C32" s="338" t="str">
        <x:v>NOT CHECKED THIS PASS</x:v>
      </x:c>
      <x:c r="D32" s="338" t="str"/>
      <x:c r="E32" s="338" t="str">
        <x:v>Retained from source workbook. No current page/file test completed; prior claims are not upgraded.</x:v>
      </x:c>
      <x:c r="F32" s="338" t="str">
        <x:v>No numerical observation file imported in this pass.</x:v>
      </x:c>
    </x:row>
    <x:row r="33" ht="88" customHeight="1">
      <x:c r="A33" s="337" t="str">
        <x:v>https://doi.org/10.5281/zenodo.16275284</x:v>
      </x:c>
      <x:c r="B33" s="337" t="str">
        <x:v>Data register: Verified Work Locators!E5; Citation register: Research Artifacts!E11</x:v>
      </x:c>
      <x:c r="C33" s="337" t="str">
        <x:v>NOT CHECKED THIS PASS</x:v>
      </x:c>
      <x:c r="D33" s="337" t="str"/>
      <x:c r="E33" s="337" t="str">
        <x:v>Retained from source workbook. No current page/file test completed; prior claims are not upgraded.</x:v>
      </x:c>
      <x:c r="F33" s="337" t="str">
        <x:v>No numerical observation file imported in this pass.</x:v>
      </x:c>
    </x:row>
    <x:row r="34" ht="88" customHeight="1">
      <x:c r="A34" s="338" t="str">
        <x:v>https://doi.org/10.5281/zenodo.16888309</x:v>
      </x:c>
      <x:c r="B34" s="338" t="str">
        <x:v>Citation register: Research Library!U35</x:v>
      </x:c>
      <x:c r="C34" s="338" t="str">
        <x:v>NOT CHECKED THIS PASS</x:v>
      </x:c>
      <x:c r="D34" s="338" t="str"/>
      <x:c r="E34" s="338" t="str">
        <x:v>Retained from source workbook. No current page/file test completed; prior claims are not upgraded.</x:v>
      </x:c>
      <x:c r="F34" s="338" t="str">
        <x:v>No numerical observation file imported in this pass.</x:v>
      </x:c>
    </x:row>
    <x:row r="35" ht="88" customHeight="1">
      <x:c r="A35" s="337" t="str">
        <x:v>https://doi.org/10.5281/zenodo.20796667</x:v>
      </x:c>
      <x:c r="B35" s="337" t="str">
        <x:v>Data register: Verified Work Locators!E7; Citation register: Research Artifacts!E13</x:v>
      </x:c>
      <x:c r="C35" s="337" t="str">
        <x:v>NOT CHECKED THIS PASS</x:v>
      </x:c>
      <x:c r="D35" s="337" t="str"/>
      <x:c r="E35" s="337" t="str">
        <x:v>Retained from source workbook. No current page/file test completed; prior claims are not upgraded.</x:v>
      </x:c>
      <x:c r="F35" s="337" t="str">
        <x:v>No numerical observation file imported in this pass.</x:v>
      </x:c>
    </x:row>
    <x:row r="36" ht="88" customHeight="1">
      <x:c r="A36" s="338" t="str">
        <x:v>https://doi.org/10.7249/RRA980-1</x:v>
      </x:c>
      <x:c r="B36" s="338" t="str">
        <x:v>Citation register: Research Artifacts!E6</x:v>
      </x:c>
      <x:c r="C36" s="338" t="str">
        <x:v>NOT CHECKED THIS PASS</x:v>
      </x:c>
      <x:c r="D36" s="338" t="str"/>
      <x:c r="E36" s="338" t="str">
        <x:v>Retained from source workbook. No current page/file test completed; prior claims are not upgraded.</x:v>
      </x:c>
      <x:c r="F36" s="338" t="str">
        <x:v>No numerical observation file imported in this pass.</x:v>
      </x:c>
    </x:row>
    <x:row r="37" ht="88" customHeight="1">
      <x:c r="A37" s="337" t="str">
        <x:v>https://explorer.ooni.org/findings/2024-bangladesh-blocked-facebook-amid-student-protests</x:v>
      </x:c>
      <x:c r="B37" s="337" t="str">
        <x:v>Data register: Remote Sources 15 Sep!B116</x:v>
      </x:c>
      <x:c r="C37" s="337" t="str">
        <x:v>NOT CHECKED THIS PASS</x:v>
      </x:c>
      <x:c r="D37" s="337" t="str"/>
      <x:c r="E37" s="337" t="str">
        <x:v>Retained from source workbook. No current page/file test completed; prior claims are not upgraded.</x:v>
      </x:c>
      <x:c r="F37" s="337" t="str">
        <x:v>No numerical observation file imported in this pass.</x:v>
      </x:c>
    </x:row>
    <x:row r="38" ht="88" customHeight="1">
      <x:c r="A38" s="338" t="str">
        <x:v>https://flux.phys.uit.no/ascii/</x:v>
      </x:c>
      <x:c r="B38" s="338" t="str">
        <x:v>Data register: Remote Sources 15 Sep!B44; Data register: Source Directory!G28</x:v>
      </x:c>
      <x:c r="C38" s="338" t="str">
        <x:v>PAGE / DOCUMENT VERIFIED</x:v>
      </x:c>
      <x:c r="D38" s="338" t="str">
        <x:v>2026-09-15</x:v>
      </x:c>
      <x:c r="E38" s="338" t="str">
        <x:v>ASCII/IAGA selection form; some data resolutions/access require password.</x:v>
      </x:c>
      <x:c r="F38" s="338" t="str">
        <x:v>No numerical observation file imported in this pass.</x:v>
      </x:c>
    </x:row>
    <x:row r="39" ht="88" customHeight="1">
      <x:c r="A39" s="337" t="str">
        <x:v>https://github.com/CelesTrak</x:v>
      </x:c>
      <x:c r="B39" s="337" t="str">
        <x:v>Data register: Domestic Contacts!B91; Data register: Source Directory!G45</x:v>
      </x:c>
      <x:c r="C39" s="337" t="str">
        <x:v>PAGE / DOCUMENT VERIFIED</x:v>
      </x:c>
      <x:c r="D39" s="337" t="str">
        <x:v>2026-09-15</x:v>
      </x:c>
      <x:c r="E39" s="337" t="str">
        <x:v>Organization/code profile; not operational network latency.</x:v>
      </x:c>
      <x:c r="F39" s="337" t="str">
        <x:v>No numerical observation file imported in this pass.</x:v>
      </x:c>
    </x:row>
    <x:row r="40" ht="88" customHeight="1">
      <x:c r="A40" s="338" t="str">
        <x:v>https://github.com/SPEAR-Research-Lab/Horizon-Predicting-Starlink-Performance</x:v>
      </x:c>
      <x:c r="B40" s="338" t="str">
        <x:v>Data register: Access and Sampling!B9; Data register: Source Directory!G47; Citation register: Research Artifacts!E17</x:v>
      </x:c>
      <x:c r="C40" s="338" t="str">
        <x:v>PAGE / DOCUMENT VERIFIED</x:v>
      </x:c>
      <x:c r="D40" s="338" t="str">
        <x:v>2026-09-15</x:v>
      </x:c>
      <x:c r="E40" s="338" t="str">
        <x:v>Prediction code and data locator; ML is performance prediction, not onboard orbital execution.</x:v>
      </x:c>
      <x:c r="F40" s="338" t="str">
        <x:v>No numerical observation file imported in this pass.</x:v>
      </x:c>
    </x:row>
    <x:row r="41" ht="88" customHeight="1">
      <x:c r="A41" s="337" t="str">
        <x:v>https://github.com/clarkzjw/LENS</x:v>
      </x:c>
      <x:c r="B41" s="337" t="str">
        <x:v>Data register: POC Register!L3; Data register: Source Status!H6; Citation register: Research Artifacts!E21</x:v>
      </x:c>
      <x:c r="C41" s="337" t="str">
        <x:v>PAGE / DOCUMENT VERIFIED</x:v>
      </x:c>
      <x:c r="D41" s="337" t="str">
        <x:v>2026-09-15</x:v>
      </x:c>
      <x:c r="E41" s="337" t="str">
        <x:v>Latency/loss schemas + samples in README; new portal is separate unresolved access check.</x:v>
      </x:c>
      <x:c r="F41" s="337" t="str">
        <x:v>No numerical observation file imported in this pass.</x:v>
      </x:c>
    </x:row>
    <x:row r="42" ht="88" customHeight="1">
      <x:c r="A42" s="338" t="str">
        <x:v>https://github.com/diic-starlink/performance-insights-into-starlink</x:v>
      </x:c>
      <x:c r="B42" s="338" t="str">
        <x:v>Data register: Access and Sampling!B16; Data register: Source Directory!G48; Citation register: Research Artifacts!E19</x:v>
      </x:c>
      <x:c r="C42" s="338" t="str">
        <x:v>PAGE / DOCUMENT VERIFIED</x:v>
      </x:c>
      <x:c r="D42" s="338" t="str">
        <x:v>2026-09-15</x:v>
      </x:c>
      <x:c r="E42" s="338" t="str">
        <x:v>Code/tools accessible; README Data access heading does not supply a complete bulk archive.</x:v>
      </x:c>
      <x:c r="F42" s="338" t="str">
        <x:v>No numerical observation file imported in this pass.</x:v>
      </x:c>
    </x:row>
    <x:row r="43" ht="88" customHeight="1">
      <x:c r="A43" s="337" t="str">
        <x:v>https://github.com/sys-uos</x:v>
      </x:c>
      <x:c r="B43" s="337" t="str">
        <x:v>Data register: POC Register!AA4; Data register: Research Fit!L4</x:v>
      </x:c>
      <x:c r="C43" s="337" t="str">
        <x:v>NOT CHECKED THIS PASS</x:v>
      </x:c>
      <x:c r="D43" s="337" t="str"/>
      <x:c r="E43" s="337" t="str">
        <x:v>Retained from source workbook. No current page/file test completed; prior claims are not upgraded.</x:v>
      </x:c>
      <x:c r="F43" s="337" t="str">
        <x:v>No numerical observation file imported in this pass.</x:v>
      </x:c>
    </x:row>
    <x:row r="44" ht="88" customHeight="1">
      <x:c r="A44" s="338" t="str">
        <x:v>https://github.com/sys-uos/WetLinks</x:v>
      </x:c>
      <x:c r="B44" s="338" t="str">
        <x:v>Citation register: Research Artifacts!E22</x:v>
      </x:c>
      <x:c r="C44" s="338" t="str">
        <x:v>PAGE / DOCUMENT VERIFIED</x:v>
      </x:c>
      <x:c r="D44" s="338" t="str">
        <x:v>2026-09-15</x:v>
      </x:c>
      <x:c r="E44" s="338" t="str">
        <x:v>Raw/preprocessed CSV routes, net_ping/iperf/weather documentation.</x:v>
      </x:c>
      <x:c r="F44" s="338" t="str">
        <x:v>No numerical observation file imported in this pass.</x:v>
      </x:c>
    </x:row>
    <x:row r="45" ht="88" customHeight="1">
      <x:c r="A45" s="337" t="str">
        <x:v>https://github.com/sys-uos/WetLinks/blob/main/Preprocessed_Data/analysis_data_Enschede.csv</x:v>
      </x:c>
      <x:c r="B45" s="337" t="str">
        <x:v>15 Sep verification / supplemental product</x:v>
      </x:c>
      <x:c r="C45" s="337" t="str">
        <x:v>PAGE / DOCUMENT VERIFIED</x:v>
      </x:c>
      <x:c r="D45" s="337" t="str">
        <x:v>2026-09-15</x:v>
      </x:c>
      <x:c r="E45" s="337" t="str">
        <x:v>File page reached; 13.7 MB CSV too large for GitHub inline display.</x:v>
      </x:c>
      <x:c r="F45" s="337" t="str">
        <x:v>No numerical observation file imported in this pass.</x:v>
      </x:c>
    </x:row>
    <x:row r="46" ht="88" customHeight="1">
      <x:c r="A46" s="338" t="str">
        <x:v>https://github.com/sys-uos/WetLinks/raw/refs/heads/main/Preprocessed_Data/analysis_data_Enschede.csv</x:v>
      </x:c>
      <x:c r="B46" s="338" t="str">
        <x:v>15 Sep verification / supplemental product</x:v>
      </x:c>
      <x:c r="C46" s="338" t="str">
        <x:v>FETCH / PARSE UNRESOLVED</x:v>
      </x:c>
      <x:c r="D46" s="338" t="str">
        <x:v>2026-09-15</x:v>
      </x:c>
      <x:c r="E46" s="338" t="str">
        <x:v>Raw file exceeds browser size limit; file page verifies 13.7 MB. Numeric content not inspected.</x:v>
      </x:c>
      <x:c r="F46" s="338" t="str">
        <x:v>No numerical observation file imported in this pass.</x:v>
      </x:c>
    </x:row>
    <x:row r="47" ht="88" customHeight="1">
      <x:c r="A47" s="337" t="str">
        <x:v>https://github.com/sys-uos/WetLinks/tree/main/Preprocessed_Data</x:v>
      </x:c>
      <x:c r="B47" s="337" t="str">
        <x:v>15 Sep verification / supplemental product</x:v>
      </x:c>
      <x:c r="C47" s="337" t="str">
        <x:v>PAGE / DOCUMENT VERIFIED</x:v>
      </x:c>
      <x:c r="D47" s="337" t="str">
        <x:v>2026-09-15</x:v>
      </x:c>
      <x:c r="E47" s="337" t="str">
        <x:v>Lists analysis CSVs and throughput aggregate CSVs.</x:v>
      </x:c>
      <x:c r="F47" s="337" t="str">
        <x:v>No numerical observation file imported in this pass.</x:v>
      </x:c>
    </x:row>
    <x:row r="48" ht="88" customHeight="1">
      <x:c r="A48" s="338" t="str">
        <x:v>https://github.com/sys-uos/WetLinks/tree/main/Raw_Data</x:v>
      </x:c>
      <x:c r="B48" s="338" t="str">
        <x:v>15 Sep verification / supplemental product</x:v>
      </x:c>
      <x:c r="C48" s="338" t="str">
        <x:v>PAGE / DOCUMENT VERIFIED</x:v>
      </x:c>
      <x:c r="D48" s="338" t="str">
        <x:v>2026-09-15</x:v>
      </x:c>
      <x:c r="E48" s="338" t="str">
        <x:v>CSV directory reached; no file parsed.</x:v>
      </x:c>
      <x:c r="F48" s="338" t="str">
        <x:v>No numerical observation file imported in this pass.</x:v>
      </x:c>
    </x:row>
    <x:row r="49" ht="88" customHeight="1">
      <x:c r="A49" s="337" t="str">
        <x:v>https://ieeexplore.ieee.org/document/9210567</x:v>
      </x:c>
      <x:c r="B49" s="337" t="str">
        <x:v>Citation register: Research Artifacts!E8</x:v>
      </x:c>
      <x:c r="C49" s="337" t="str">
        <x:v>NOT CHECKED THIS PASS</x:v>
      </x:c>
      <x:c r="D49" s="337" t="str"/>
      <x:c r="E49" s="337" t="str">
        <x:v>Retained from source workbook. No current page/file test completed; prior claims are not upgraded.</x:v>
      </x:c>
      <x:c r="F49" s="337" t="str">
        <x:v>No numerical observation file imported in this pass.</x:v>
      </x:c>
    </x:row>
    <x:row r="50" ht="88" customHeight="1">
      <x:c r="A50" s="338" t="str">
        <x:v>https://iigm.res.in/content/mr-mahendra-g-doiphode</x:v>
      </x:c>
      <x:c r="B50" s="338" t="str">
        <x:v>Data register: Remote Sources 15 Sep!B86</x:v>
      </x:c>
      <x:c r="C50" s="338" t="str">
        <x:v>NOT CHECKED THIS PASS</x:v>
      </x:c>
      <x:c r="D50" s="338" t="str"/>
      <x:c r="E50" s="338" t="str">
        <x:v>Retained from source workbook. No current page/file test completed; prior claims are not upgraded.</x:v>
      </x:c>
      <x:c r="F50" s="338" t="str">
        <x:v>No numerical observation file imported in this pass.</x:v>
      </x:c>
    </x:row>
    <x:row r="51" ht="88" customHeight="1">
      <x:c r="A51" s="337" t="str">
        <x:v>https://iigm.res.in/content/observatories-data-analysis</x:v>
      </x:c>
      <x:c r="B51" s="337" t="str">
        <x:v>Data register: Remote Sources 15 Sep!B87</x:v>
      </x:c>
      <x:c r="C51" s="337" t="str">
        <x:v>NOT CHECKED THIS PASS</x:v>
      </x:c>
      <x:c r="D51" s="337" t="str"/>
      <x:c r="E51" s="337" t="str">
        <x:v>Retained from source workbook. No current page/file test completed; prior claims are not upgraded.</x:v>
      </x:c>
      <x:c r="F51" s="337" t="str">
        <x:v>No numerical observation file imported in this pass.</x:v>
      </x:c>
    </x:row>
    <x:row r="52" ht="88" customHeight="1">
      <x:c r="A52" s="338" t="str">
        <x:v>https://imag-data.bgs.ac.uk/GIN_V1/GINServices?Request=GetCapabilities&amp;format=html</x:v>
      </x:c>
      <x:c r="B52" s="338" t="str">
        <x:v>Data register: Remote Sources 15 Sep!B127</x:v>
      </x:c>
      <x:c r="C52" s="338" t="str">
        <x:v>NOT CHECKED THIS PASS</x:v>
      </x:c>
      <x:c r="D52" s="338" t="str"/>
      <x:c r="E52" s="338" t="str">
        <x:v>Retained from source workbook. No current page/file test completed; prior claims are not upgraded.</x:v>
      </x:c>
      <x:c r="F52" s="338" t="str">
        <x:v>No numerical observation file imported in this pass.</x:v>
      </x:c>
    </x:row>
    <x:row r="53" ht="88" customHeight="1">
      <x:c r="A53" s="337" t="str">
        <x:v>https://ioda.inetintel.cc.gatech.edu/about</x:v>
      </x:c>
      <x:c r="B53" s="337" t="str">
        <x:v>Data register: Remote Sources 15 Sep!B115; Data register: Source Directory!G33</x:v>
      </x:c>
      <x:c r="C53" s="337" t="str">
        <x:v>SHELL ONLY</x:v>
      </x:c>
      <x:c r="D53" s="337" t="str">
        <x:v>2026-09-15</x:v>
      </x:c>
      <x:c r="E53" s="337" t="str">
        <x:v>Dynamic page shell only; country data queries not executed.</x:v>
      </x:c>
      <x:c r="F53" s="337" t="str">
        <x:v>No numerical observation file imported in this pass.</x:v>
      </x:c>
    </x:row>
    <x:row r="54" ht="88" customHeight="1">
      <x:c r="A54" s="338" t="str">
        <x:v>https://kp.gfz.de/en/</x:v>
      </x:c>
      <x:c r="B54" s="338" t="str">
        <x:v>Data register: Australia Sources!H11</x:v>
      </x:c>
      <x:c r="C54" s="338" t="str">
        <x:v>NOT CHECKED THIS PASS</x:v>
      </x:c>
      <x:c r="D54" s="338" t="str"/>
      <x:c r="E54" s="338" t="str">
        <x:v>Retained from source workbook. No current page/file test completed; prior claims are not upgraded.</x:v>
      </x:c>
      <x:c r="F54" s="338" t="str">
        <x:v>No numerical observation file imported in this pass.</x:v>
      </x:c>
    </x:row>
    <x:row r="55" ht="88" customHeight="1">
      <x:c r="A55" s="337" t="str">
        <x:v>https://lens-starlink.jinwei.me</x:v>
      </x:c>
      <x:c r="B55" s="337" t="str">
        <x:v>15 Sep verification / supplemental product</x:v>
      </x:c>
      <x:c r="C55" s="337" t="str">
        <x:v>FETCH / PARSE UNRESOLVED</x:v>
      </x:c>
      <x:c r="D55" s="337" t="str">
        <x:v>2026-09-15</x:v>
      </x:c>
      <x:c r="E55" s="337" t="str">
        <x:v>New portal listed by LENS but not reached by tool.</x:v>
      </x:c>
      <x:c r="F55" s="337" t="str">
        <x:v>No numerical observation file imported in this pass.</x:v>
      </x:c>
    </x:row>
    <x:row r="56" ht="88" customHeight="1">
      <x:c r="A56" s="338" t="str">
        <x:v>https://leoscope.surrey.ac.uk/</x:v>
      </x:c>
      <x:c r="B56" s="338" t="str">
        <x:v>Data register: Expansion 14 Sep!B12; Data register: Expansion 14 Sep!B13; Data register: Expansion Index!F5; Data register: Source Directory!G19</x:v>
      </x:c>
      <x:c r="C56" s="338" t="str">
        <x:v>SHELL ONLY</x:v>
      </x:c>
      <x:c r="D56" s="338" t="str">
        <x:v>2026-09-15</x:v>
      </x:c>
      <x:c r="E56" s="338" t="str">
        <x:v>Testbed shell reached; raw historical files not retrieved.</x:v>
      </x:c>
      <x:c r="F56" s="338" t="str">
        <x:v>No numerical observation file imported in this pass.</x:v>
      </x:c>
    </x:row>
    <x:row r="57" ht="88" customHeight="1">
      <x:c r="A57" s="337" t="str">
        <x:v>https://listserver.ips.gov.au/pipermail/ips-dsgr/</x:v>
      </x:c>
      <x:c r="B57" s="337" t="str">
        <x:v>Data register: Australia Sources!H12</x:v>
      </x:c>
      <x:c r="C57" s="337" t="str">
        <x:v>NOT CHECKED THIS PASS</x:v>
      </x:c>
      <x:c r="D57" s="337" t="str"/>
      <x:c r="E57" s="337" t="str">
        <x:v>Retained from source workbook. No current page/file test completed; prior claims are not upgraded.</x:v>
      </x:c>
      <x:c r="F57" s="337" t="str">
        <x:v>No numerical observation file imported in this pass.</x:v>
      </x:c>
    </x:row>
    <x:row r="58" ht="88" customHeight="1">
      <x:c r="A58" s="338" t="str">
        <x:v>https://listserver.ips.gov.au/pipermail/ips-mag-alert/</x:v>
      </x:c>
      <x:c r="B58" s="338" t="str">
        <x:v>Data register: Australia Sources!H9</x:v>
      </x:c>
      <x:c r="C58" s="338" t="str">
        <x:v>NOT CHECKED THIS PASS</x:v>
      </x:c>
      <x:c r="D58" s="338" t="str"/>
      <x:c r="E58" s="338" t="str">
        <x:v>Retained from source workbook. No current page/file test completed; prior claims are not upgraded.</x:v>
      </x:c>
      <x:c r="F58" s="338" t="str">
        <x:v>No numerical observation file imported in this pass.</x:v>
      </x:c>
    </x:row>
    <x:row r="59" ht="88" customHeight="1">
      <x:c r="A59" s="337" t="str">
        <x:v>https://listserver.ips.gov.au/pipermail/ips-swf-alert/</x:v>
      </x:c>
      <x:c r="B59" s="337" t="str">
        <x:v>Data register: POC Register!L8; Data register: Research Fit!G8; Data register: Australia Sources!H7</x:v>
      </x:c>
      <x:c r="C59" s="337" t="str">
        <x:v>NOT CHECKED THIS PASS</x:v>
      </x:c>
      <x:c r="D59" s="337" t="str"/>
      <x:c r="E59" s="337" t="str">
        <x:v>Retained from source workbook. No current page/file test completed; prior claims are not upgraded.</x:v>
      </x:c>
      <x:c r="F59" s="337" t="str">
        <x:v>No numerical observation file imported in this pass.</x:v>
      </x:c>
    </x:row>
    <x:row r="60" ht="88" customHeight="1">
      <x:c r="A60" s="338" t="str">
        <x:v>https://network.igs.org/ASCG00SHN</x:v>
      </x:c>
      <x:c r="B60" s="338" t="str">
        <x:v>Data register: Access and Sampling!B79; Data register: Source Directory!G57</x:v>
      </x:c>
      <x:c r="C60" s="338" t="str">
        <x:v>PAGE / DOCUMENT VERIFIED</x:v>
      </x:c>
      <x:c r="D60" s="338" t="str">
        <x:v>2026-09-15</x:v>
      </x:c>
      <x:c r="E60" s="338" t="str">
        <x:v>Ascension GNSS station metadata and data-center links.</x:v>
      </x:c>
      <x:c r="F60" s="338" t="str">
        <x:v>No numerical observation file imported in this pass.</x:v>
      </x:c>
    </x:row>
    <x:row r="61" ht="88" customHeight="1">
      <x:c r="A61" s="337" t="str">
        <x:v>https://network.igs.org/SGOC00LKA</x:v>
      </x:c>
      <x:c r="B61" s="337" t="str">
        <x:v>Data register: Access and Sampling!B51; Data register: Source Directory!G53</x:v>
      </x:c>
      <x:c r="C61" s="337" t="str">
        <x:v>PAGE / DOCUMENT VERIFIED</x:v>
      </x:c>
      <x:c r="D61" s="337" t="str">
        <x:v>2026-09-15</x:v>
      </x:c>
      <x:c r="E61" s="337" t="str">
        <x:v>Colombo GNSS station metadata and RINEX centers; site incident notices available.</x:v>
      </x:c>
      <x:c r="F61" s="337" t="str">
        <x:v>No numerical observation file imported in this pass.</x:v>
      </x:c>
    </x:row>
    <x:row r="62" ht="88" customHeight="1">
      <x:c r="A62" s="338" t="str">
        <x:v>https://network.igs.org/XMIS00AUS</x:v>
      </x:c>
      <x:c r="B62" s="338" t="str">
        <x:v>Data register: Access and Sampling!B72; Data register: Source Directory!G56</x:v>
      </x:c>
      <x:c r="C62" s="338" t="str">
        <x:v>PAGE / DOCUMENT VERIFIED</x:v>
      </x:c>
      <x:c r="D62" s="338" t="str">
        <x:v>2026-09-15</x:v>
      </x:c>
      <x:c r="E62" s="338" t="str">
        <x:v>Australian Christmas Island GNSS station; site outages are not Starlink outages.</x:v>
      </x:c>
      <x:c r="F62" s="338" t="str">
        <x:v>No numerical observation file imported in this pass.</x:v>
      </x:c>
    </x:row>
    <x:row r="63" ht="88" customHeight="1">
      <x:c r="A63" s="337" t="str">
        <x:v>https://nexasphere.eu/</x:v>
      </x:c>
      <x:c r="B63" s="337" t="str">
        <x:v>Data register: Expansion 14 Sep!B34; Data register: Source Directory!G21</x:v>
      </x:c>
      <x:c r="C63" s="337" t="str">
        <x:v>NOT CHECKED THIS PASS</x:v>
      </x:c>
      <x:c r="D63" s="337" t="str"/>
      <x:c r="E63" s="337" t="str">
        <x:v>Retained from source workbook. No current page/file test completed; prior claims are not upgraded.</x:v>
      </x:c>
      <x:c r="F63" s="337" t="str">
        <x:v>No numerical observation file imported in this pass.</x:v>
      </x:c>
    </x:row>
    <x:row r="64" ht="88" customHeight="1">
      <x:c r="A64" s="338" t="str">
        <x:v>https://onlineacademiccommunity.uvic.ca/starlink/</x:v>
      </x:c>
      <x:c r="B64" s="338" t="str">
        <x:v>Data register: POC Register!K3; Data register: Research Fit!G3; Data register: Source Directory!G7; Citation register: Intl Data Requests!J7</x:v>
      </x:c>
      <x:c r="C64" s="338" t="str">
        <x:v>PAGE / DOCUMENT VERIFIED</x:v>
      </x:c>
      <x:c r="D64" s="338" t="str">
        <x:v>2026-09-15</x:v>
      </x:c>
      <x:c r="E64" s="338" t="str">
        <x:v>Dataset, paper and tool catalog; trace-driven network/ML research documented.</x:v>
      </x:c>
      <x:c r="F64" s="338" t="str">
        <x:v>No numerical observation file imported in this pass.</x:v>
      </x:c>
    </x:row>
    <x:row r="65" ht="88" customHeight="1">
      <x:c r="A65" s="337" t="str">
        <x:v>https://oulurepo.oulu.fi/handle/10024/58511</x:v>
      </x:c>
      <x:c r="B65" s="337" t="str">
        <x:v>Data register: Expansion 14 Sep!B67; Data register: Expansion Index!F10; Data register: Remote Sources 15 Sep!B64; Data register: Source Directory!G24</x:v>
      </x:c>
      <x:c r="C65" s="337" t="str">
        <x:v>PAGE / DOCUMENT VERIFIED</x:v>
      </x:c>
      <x:c r="D65" s="337" t="str">
        <x:v>2026-09-15</x:v>
      </x:c>
      <x:c r="E65" s="337" t="str">
        <x:v>Research record; raw-data repository not established.</x:v>
      </x:c>
      <x:c r="F65" s="337" t="str">
        <x:v>No numerical observation file imported in this pass.</x:v>
      </x:c>
    </x:row>
    <x:row r="66" ht="88" customHeight="1">
      <x:c r="A66" s="338" t="str">
        <x:v>https://portal.eiscat.se/</x:v>
      </x:c>
      <x:c r="B66" s="338" t="str">
        <x:v>Data register: Access and Sampling!B93; Data register: Source Directory!G59</x:v>
      </x:c>
      <x:c r="C66" s="338" t="str">
        <x:v>PAGE / DOCUMENT VERIFIED</x:v>
      </x:c>
      <x:c r="D66" s="338" t="str">
        <x:v>2026-09-15</x:v>
      </x:c>
      <x:c r="E66" s="338" t="str">
        <x:v>Portal reached; registration/access authorization remains required.</x:v>
      </x:c>
      <x:c r="F66" s="338" t="str">
        <x:v>No numerical observation file imported in this pass.</x:v>
      </x:c>
    </x:row>
    <x:row r="67" ht="88" customHeight="1">
      <x:c r="A67" s="337" t="str">
        <x:v>https://ppgeet.uff.br/index.php/docentes/</x:v>
      </x:c>
      <x:c r="B67" s="337" t="str">
        <x:v>Data register: Expansion 14 Sep!B57; Data register: Remote Sources 15 Sep!B55</x:v>
      </x:c>
      <x:c r="C67" s="337" t="str">
        <x:v>NOT CHECKED THIS PASS</x:v>
      </x:c>
      <x:c r="D67" s="337" t="str"/>
      <x:c r="E67" s="337" t="str">
        <x:v>Retained from source workbook. No current page/file test completed; prior claims are not upgraded.</x:v>
      </x:c>
      <x:c r="F67" s="337" t="str">
        <x:v>No numerical observation file imported in this pass.</x:v>
      </x:c>
    </x:row>
    <x:row r="68" ht="88" customHeight="1">
      <x:c r="A68" s="338" t="str">
        <x:v>https://ps.ac.lk/toolkit/</x:v>
      </x:c>
      <x:c r="B68" s="338" t="str">
        <x:v>Data register: Remote Sources 15 Sep!B74</x:v>
      </x:c>
      <x:c r="C68" s="338" t="str">
        <x:v>NOT CHECKED THIS PASS</x:v>
      </x:c>
      <x:c r="D68" s="338" t="str"/>
      <x:c r="E68" s="338" t="str">
        <x:v>Retained from source workbook. No current page/file test completed; prior claims are not upgraded.</x:v>
      </x:c>
      <x:c r="F68" s="338" t="str">
        <x:v>No numerical observation file imported in this pass.</x:v>
      </x:c>
    </x:row>
    <x:row r="69" ht="88" customHeight="1">
      <x:c r="A69" s="337" t="str">
        <x:v>https://quantum-uniqorn.eu/cosmote-kinites-tilepikoinonies-a-e-greece-cosm/</x:v>
      </x:c>
      <x:c r="B69" s="337" t="str">
        <x:v>Data register: Expansion 14 Sep!B35</x:v>
      </x:c>
      <x:c r="C69" s="337" t="str">
        <x:v>NOT CHECKED THIS PASS</x:v>
      </x:c>
      <x:c r="D69" s="337" t="str"/>
      <x:c r="E69" s="337" t="str">
        <x:v>Retained from source workbook. No current page/file test completed; prior claims are not upgraded.</x:v>
      </x:c>
      <x:c r="F69" s="337" t="str">
        <x:v>No numerical observation file imported in this pass.</x:v>
      </x:c>
    </x:row>
    <x:row r="70" ht="88" customHeight="1">
      <x:c r="A70" s="338" t="str">
        <x:v>https://raw.githubusercontent.com/sys-uos/WetLinks/main/README.md</x:v>
      </x:c>
      <x:c r="B70" s="338" t="str">
        <x:v>15 Sep verification / supplemental product</x:v>
      </x:c>
      <x:c r="C70" s="338" t="str">
        <x:v>PAGE / DOCUMENT VERIFIED</x:v>
      </x:c>
      <x:c r="D70" s="338" t="str">
        <x:v>2026-09-15</x:v>
      </x:c>
      <x:c r="E70" s="338" t="str">
        <x:v>README text reached; not numerical data.</x:v>
      </x:c>
      <x:c r="F70" s="338" t="str">
        <x:v>No numerical observation file imported in this pass.</x:v>
      </x:c>
    </x:row>
    <x:row r="71" ht="88" customHeight="1">
      <x:c r="A71" s="337" t="str">
        <x:v>https://rudimirz.com/flares/</x:v>
      </x:c>
      <x:c r="B71" s="337" t="str">
        <x:v>Data register: Australia Sources!H6</x:v>
      </x:c>
      <x:c r="C71" s="337" t="str">
        <x:v>NOT CHECKED THIS PASS</x:v>
      </x:c>
      <x:c r="D71" s="337" t="str"/>
      <x:c r="E71" s="337" t="str">
        <x:v>Retained from source workbook. No current page/file test completed; prior claims are not upgraded.</x:v>
      </x:c>
      <x:c r="F71" s="337" t="str">
        <x:v>No numerical observation file imported in this pass.</x:v>
      </x:c>
    </x:row>
    <x:row r="72" ht="88" customHeight="1">
      <x:c r="A72" s="338" t="str">
        <x:v>https://scholarspace.library.gwu.edu/concern/gw_etds/1544bq08m</x:v>
      </x:c>
      <x:c r="B72" s="338" t="str">
        <x:v>Citation register: Research Library!U19</x:v>
      </x:c>
      <x:c r="C72" s="338" t="str">
        <x:v>NOT CHECKED THIS PASS</x:v>
      </x:c>
      <x:c r="D72" s="338" t="str"/>
      <x:c r="E72" s="338" t="str">
        <x:v>Retained from source workbook. No current page/file test completed; prior claims are not upgraded.</x:v>
      </x:c>
      <x:c r="F72" s="338" t="str">
        <x:v>No numerical observation file imported in this pass.</x:v>
      </x:c>
    </x:row>
    <x:row r="73" ht="88" customHeight="1">
      <x:c r="A73" s="337" t="str">
        <x:v>https://scholarspace.library.gwu.edu/concern/gw_etds/2j62s577p</x:v>
      </x:c>
      <x:c r="B73" s="337" t="str">
        <x:v>Citation register: Research Library!U33</x:v>
      </x:c>
      <x:c r="C73" s="337" t="str">
        <x:v>NOT CHECKED THIS PASS</x:v>
      </x:c>
      <x:c r="D73" s="337" t="str"/>
      <x:c r="E73" s="337" t="str">
        <x:v>Retained from source workbook. No current page/file test completed; prior claims are not upgraded.</x:v>
      </x:c>
      <x:c r="F73" s="337" t="str">
        <x:v>No numerical observation file imported in this pass.</x:v>
      </x:c>
    </x:row>
    <x:row r="74" ht="88" customHeight="1">
      <x:c r="A74" s="338" t="str">
        <x:v>https://scholarspace.library.gwu.edu/concern/gw_etds/2v23vv18b</x:v>
      </x:c>
      <x:c r="B74" s="338" t="str">
        <x:v>Citation register: Research Library!U27</x:v>
      </x:c>
      <x:c r="C74" s="338" t="str">
        <x:v>NOT CHECKED THIS PASS</x:v>
      </x:c>
      <x:c r="D74" s="338" t="str"/>
      <x:c r="E74" s="338" t="str">
        <x:v>Retained from source workbook. No current page/file test completed; prior claims are not upgraded.</x:v>
      </x:c>
      <x:c r="F74" s="338" t="str">
        <x:v>No numerical observation file imported in this pass.</x:v>
      </x:c>
    </x:row>
    <x:row r="75" ht="88" customHeight="1">
      <x:c r="A75" s="337" t="str">
        <x:v>https://scholarspace.library.gwu.edu/concern/gw_etds/5712m7598</x:v>
      </x:c>
      <x:c r="B75" s="337" t="str">
        <x:v>Citation register: Research Library!U16</x:v>
      </x:c>
      <x:c r="C75" s="337" t="str">
        <x:v>NOT CHECKED THIS PASS</x:v>
      </x:c>
      <x:c r="D75" s="337" t="str"/>
      <x:c r="E75" s="337" t="str">
        <x:v>Retained from source workbook. No current page/file test completed; prior claims are not upgraded.</x:v>
      </x:c>
      <x:c r="F75" s="337" t="str">
        <x:v>No numerical observation file imported in this pass.</x:v>
      </x:c>
    </x:row>
    <x:row r="76" ht="88" customHeight="1">
      <x:c r="A76" s="338" t="str">
        <x:v>https://scholarspace.library.gwu.edu/concern/gw_etds/bk128b72k</x:v>
      </x:c>
      <x:c r="B76" s="338" t="str">
        <x:v>Citation register: Research Library!U17</x:v>
      </x:c>
      <x:c r="C76" s="338" t="str">
        <x:v>NOT CHECKED THIS PASS</x:v>
      </x:c>
      <x:c r="D76" s="338" t="str"/>
      <x:c r="E76" s="338" t="str">
        <x:v>Retained from source workbook. No current page/file test completed; prior claims are not upgraded.</x:v>
      </x:c>
      <x:c r="F76" s="338" t="str">
        <x:v>No numerical observation file imported in this pass.</x:v>
      </x:c>
    </x:row>
    <x:row r="77" ht="88" customHeight="1">
      <x:c r="A77" s="337" t="str">
        <x:v>https://scholarspace.library.gwu.edu/concern/gw_etds/br86b420j</x:v>
      </x:c>
      <x:c r="B77" s="337" t="str">
        <x:v>Citation register: Research Library!U20</x:v>
      </x:c>
      <x:c r="C77" s="337" t="str">
        <x:v>NOT CHECKED THIS PASS</x:v>
      </x:c>
      <x:c r="D77" s="337" t="str"/>
      <x:c r="E77" s="337" t="str">
        <x:v>Retained from source workbook. No current page/file test completed; prior claims are not upgraded.</x:v>
      </x:c>
      <x:c r="F77" s="337" t="str">
        <x:v>No numerical observation file imported in this pass.</x:v>
      </x:c>
    </x:row>
    <x:row r="78" ht="88" customHeight="1">
      <x:c r="A78" s="338" t="str">
        <x:v>https://scholarspace.library.gwu.edu/concern/gw_etds/jd472x57t</x:v>
      </x:c>
      <x:c r="B78" s="338" t="str">
        <x:v>Citation register: Research Library!U30</x:v>
      </x:c>
      <x:c r="C78" s="338" t="str">
        <x:v>NOT CHECKED THIS PASS</x:v>
      </x:c>
      <x:c r="D78" s="338" t="str"/>
      <x:c r="E78" s="338" t="str">
        <x:v>Retained from source workbook. No current page/file test completed; prior claims are not upgraded.</x:v>
      </x:c>
      <x:c r="F78" s="338" t="str">
        <x:v>No numerical observation file imported in this pass.</x:v>
      </x:c>
    </x:row>
    <x:row r="79" ht="88" customHeight="1">
      <x:c r="A79" s="337" t="str">
        <x:v>https://scholarspace.library.gwu.edu/concern/gw_etds/js956g65h</x:v>
      </x:c>
      <x:c r="B79" s="337" t="str">
        <x:v>Citation register: Research Library!U28</x:v>
      </x:c>
      <x:c r="C79" s="337" t="str">
        <x:v>NOT CHECKED THIS PASS</x:v>
      </x:c>
      <x:c r="D79" s="337" t="str"/>
      <x:c r="E79" s="337" t="str">
        <x:v>Retained from source workbook. No current page/file test completed; prior claims are not upgraded.</x:v>
      </x:c>
      <x:c r="F79" s="337" t="str">
        <x:v>No numerical observation file imported in this pass.</x:v>
      </x:c>
    </x:row>
    <x:row r="80" ht="88" customHeight="1">
      <x:c r="A80" s="338" t="str">
        <x:v>https://scholarspace.library.gwu.edu/concern/gw_etds/k0698875j</x:v>
      </x:c>
      <x:c r="B80" s="338" t="str">
        <x:v>Citation register: Research Library!U23</x:v>
      </x:c>
      <x:c r="C80" s="338" t="str">
        <x:v>NOT CHECKED THIS PASS</x:v>
      </x:c>
      <x:c r="D80" s="338" t="str"/>
      <x:c r="E80" s="338" t="str">
        <x:v>Retained from source workbook. No current page/file test completed; prior claims are not upgraded.</x:v>
      </x:c>
      <x:c r="F80" s="338" t="str">
        <x:v>No numerical observation file imported in this pass.</x:v>
      </x:c>
    </x:row>
    <x:row r="81" ht="88" customHeight="1">
      <x:c r="A81" s="337" t="str">
        <x:v>https://scholarspace.library.gwu.edu/concern/gw_etds/m900nv184</x:v>
      </x:c>
      <x:c r="B81" s="337" t="str">
        <x:v>Citation register: Research Library!U34</x:v>
      </x:c>
      <x:c r="C81" s="337" t="str">
        <x:v>NOT CHECKED THIS PASS</x:v>
      </x:c>
      <x:c r="D81" s="337" t="str"/>
      <x:c r="E81" s="337" t="str">
        <x:v>Retained from source workbook. No current page/file test completed; prior claims are not upgraded.</x:v>
      </x:c>
      <x:c r="F81" s="337" t="str">
        <x:v>No numerical observation file imported in this pass.</x:v>
      </x:c>
    </x:row>
    <x:row r="82" ht="88" customHeight="1">
      <x:c r="A82" s="338" t="str">
        <x:v>https://scholarspace.library.gwu.edu/concern/gw_etds/mg74qn00d</x:v>
      </x:c>
      <x:c r="B82" s="338" t="str">
        <x:v>Citation register: Research Library!U21</x:v>
      </x:c>
      <x:c r="C82" s="338" t="str">
        <x:v>NOT CHECKED THIS PASS</x:v>
      </x:c>
      <x:c r="D82" s="338" t="str"/>
      <x:c r="E82" s="338" t="str">
        <x:v>Retained from source workbook. No current page/file test completed; prior claims are not upgraded.</x:v>
      </x:c>
      <x:c r="F82" s="338" t="str">
        <x:v>No numerical observation file imported in this pass.</x:v>
      </x:c>
    </x:row>
    <x:row r="83" ht="88" customHeight="1">
      <x:c r="A83" s="337" t="str">
        <x:v>https://scholarspace.library.gwu.edu/concern/gw_etds/pn89d662c</x:v>
      </x:c>
      <x:c r="B83" s="337" t="str">
        <x:v>Citation register: Research Library!U29</x:v>
      </x:c>
      <x:c r="C83" s="337" t="str">
        <x:v>NOT CHECKED THIS PASS</x:v>
      </x:c>
      <x:c r="D83" s="337" t="str"/>
      <x:c r="E83" s="337" t="str">
        <x:v>Retained from source workbook. No current page/file test completed; prior claims are not upgraded.</x:v>
      </x:c>
      <x:c r="F83" s="337" t="str">
        <x:v>No numerical observation file imported in this pass.</x:v>
      </x:c>
    </x:row>
    <x:row r="84" ht="88" customHeight="1">
      <x:c r="A84" s="338" t="str">
        <x:v>https://scholarspace.library.gwu.edu/concern/gw_etds/qv33rx81r</x:v>
      </x:c>
      <x:c r="B84" s="338" t="str">
        <x:v>Citation register: Research Library!U8</x:v>
      </x:c>
      <x:c r="C84" s="338" t="str">
        <x:v>NOT CHECKED THIS PASS</x:v>
      </x:c>
      <x:c r="D84" s="338" t="str"/>
      <x:c r="E84" s="338" t="str">
        <x:v>Retained from source workbook. No current page/file test completed; prior claims are not upgraded.</x:v>
      </x:c>
      <x:c r="F84" s="338" t="str">
        <x:v>No numerical observation file imported in this pass.</x:v>
      </x:c>
    </x:row>
    <x:row r="85" ht="88" customHeight="1">
      <x:c r="A85" s="337" t="str">
        <x:v>https://scholarspace.library.gwu.edu/concern/gw_etds/r207tq15z</x:v>
      </x:c>
      <x:c r="B85" s="337" t="str">
        <x:v>Citation register: Research Library!U15</x:v>
      </x:c>
      <x:c r="C85" s="337" t="str">
        <x:v>NOT CHECKED THIS PASS</x:v>
      </x:c>
      <x:c r="D85" s="337" t="str"/>
      <x:c r="E85" s="337" t="str">
        <x:v>Retained from source workbook. No current page/file test completed; prior claims are not upgraded.</x:v>
      </x:c>
      <x:c r="F85" s="337" t="str">
        <x:v>No numerical observation file imported in this pass.</x:v>
      </x:c>
    </x:row>
    <x:row r="86" ht="88" customHeight="1">
      <x:c r="A86" s="338" t="str">
        <x:v>https://scholarspace.library.gwu.edu/concern/gw_etds/sn009z73z</x:v>
      </x:c>
      <x:c r="B86" s="338" t="str">
        <x:v>Citation register: Research Library!U31</x:v>
      </x:c>
      <x:c r="C86" s="338" t="str">
        <x:v>NOT CHECKED THIS PASS</x:v>
      </x:c>
      <x:c r="D86" s="338" t="str"/>
      <x:c r="E86" s="338" t="str">
        <x:v>Retained from source workbook. No current page/file test completed; prior claims are not upgraded.</x:v>
      </x:c>
      <x:c r="F86" s="338" t="str">
        <x:v>No numerical observation file imported in this pass.</x:v>
      </x:c>
    </x:row>
    <x:row r="87" ht="88" customHeight="1">
      <x:c r="A87" s="337" t="str">
        <x:v>https://scholarspace.library.gwu.edu/concern/gw_etds/st74cr52x</x:v>
      </x:c>
      <x:c r="B87" s="337" t="str">
        <x:v>Citation register: Research Library!U18</x:v>
      </x:c>
      <x:c r="C87" s="337" t="str">
        <x:v>NOT CHECKED THIS PASS</x:v>
      </x:c>
      <x:c r="D87" s="337" t="str"/>
      <x:c r="E87" s="337" t="str">
        <x:v>Retained from source workbook. No current page/file test completed; prior claims are not upgraded.</x:v>
      </x:c>
      <x:c r="F87" s="337" t="str">
        <x:v>No numerical observation file imported in this pass.</x:v>
      </x:c>
    </x:row>
    <x:row r="88" ht="88" customHeight="1">
      <x:c r="A88" s="338" t="str">
        <x:v>https://scholarspace.library.gwu.edu/concern/gw_etds/tt44pn765</x:v>
      </x:c>
      <x:c r="B88" s="338" t="str">
        <x:v>Citation register: Research Library!U5</x:v>
      </x:c>
      <x:c r="C88" s="338" t="str">
        <x:v>NOT CHECKED THIS PASS</x:v>
      </x:c>
      <x:c r="D88" s="338" t="str"/>
      <x:c r="E88" s="338" t="str">
        <x:v>Retained from source workbook. No current page/file test completed; prior claims are not upgraded.</x:v>
      </x:c>
      <x:c r="F88" s="338" t="str">
        <x:v>No numerical observation file imported in this pass.</x:v>
      </x:c>
    </x:row>
    <x:row r="89" ht="88" customHeight="1">
      <x:c r="A89" s="337" t="str">
        <x:v>https://scholarspace.library.gwu.edu/downloads/cv43nx61h?disposition=attachment&amp;locale=en</x:v>
      </x:c>
      <x:c r="B89" s="337" t="str">
        <x:v>Citation register: Research Library!U6</x:v>
      </x:c>
      <x:c r="C89" s="337" t="str">
        <x:v>NOT CHECKED THIS PASS</x:v>
      </x:c>
      <x:c r="D89" s="337" t="str"/>
      <x:c r="E89" s="337" t="str">
        <x:v>Retained from source workbook. No current page/file test completed; prior claims are not upgraded.</x:v>
      </x:c>
      <x:c r="F89" s="337" t="str">
        <x:v>No numerical observation file imported in this pass.</x:v>
      </x:c>
    </x:row>
    <x:row r="90" ht="88" customHeight="1">
      <x:c r="A90" s="338" t="str">
        <x:v>https://scholarspace.library.gwu.edu/downloads/dv13zt91w?disposition=inline&amp;locale=en</x:v>
      </x:c>
      <x:c r="B90" s="338" t="str">
        <x:v>Citation register: Research Library!U12</x:v>
      </x:c>
      <x:c r="C90" s="338" t="str">
        <x:v>NOT CHECKED THIS PASS</x:v>
      </x:c>
      <x:c r="D90" s="338" t="str"/>
      <x:c r="E90" s="338" t="str">
        <x:v>Retained from source workbook. No current page/file test completed; prior claims are not upgraded.</x:v>
      </x:c>
      <x:c r="F90" s="338" t="str">
        <x:v>No numerical observation file imported in this pass.</x:v>
      </x:c>
    </x:row>
    <x:row r="91" ht="88" customHeight="1">
      <x:c r="A91" s="337" t="str">
        <x:v>https://scholarspace.library.gwu.edu/downloads/k3569472r?disposition=attachment&amp;locale=en</x:v>
      </x:c>
      <x:c r="B91" s="337" t="str">
        <x:v>Citation register: Research Library!U14</x:v>
      </x:c>
      <x:c r="C91" s="337" t="str">
        <x:v>NOT CHECKED THIS PASS</x:v>
      </x:c>
      <x:c r="D91" s="337" t="str"/>
      <x:c r="E91" s="337" t="str">
        <x:v>Retained from source workbook. No current page/file test completed; prior claims are not upgraded.</x:v>
      </x:c>
      <x:c r="F91" s="337" t="str">
        <x:v>No numerical observation file imported in this pass.</x:v>
      </x:c>
    </x:row>
    <x:row r="92" ht="88" customHeight="1">
      <x:c r="A92" s="338" t="str">
        <x:v>https://scholarspace.library.gwu.edu/downloads/x059c743t?disposition=inline&amp;locale=en</x:v>
      </x:c>
      <x:c r="B92" s="338" t="str">
        <x:v>Citation register: Research Library!U10</x:v>
      </x:c>
      <x:c r="C92" s="338" t="str">
        <x:v>NOT CHECKED THIS PASS</x:v>
      </x:c>
      <x:c r="D92" s="338" t="str"/>
      <x:c r="E92" s="338" t="str">
        <x:v>Retained from source workbook. No current page/file test completed; prior claims are not upgraded.</x:v>
      </x:c>
      <x:c r="F92" s="338" t="str">
        <x:v>No numerical observation file imported in this pass.</x:v>
      </x:c>
    </x:row>
    <x:row r="93" ht="88" customHeight="1">
      <x:c r="A93" s="337" t="str">
        <x:v>https://scholarspace.library.gwu.edu/etd/1v53jx95k</x:v>
      </x:c>
      <x:c r="B93" s="337" t="str">
        <x:v>Citation register: Research Library!U9</x:v>
      </x:c>
      <x:c r="C93" s="337" t="str">
        <x:v>NOT CHECKED THIS PASS</x:v>
      </x:c>
      <x:c r="D93" s="337" t="str"/>
      <x:c r="E93" s="337" t="str">
        <x:v>Retained from source workbook. No current page/file test completed; prior claims are not upgraded.</x:v>
      </x:c>
      <x:c r="F93" s="337" t="str">
        <x:v>No numerical observation file imported in this pass.</x:v>
      </x:c>
    </x:row>
    <x:row r="94" ht="88" customHeight="1">
      <x:c r="A94" s="338" t="str">
        <x:v>https://scholarspace.library.gwu.edu/etd/gb19f652r</x:v>
      </x:c>
      <x:c r="B94" s="338" t="str">
        <x:v>Citation register: Research Library!U7</x:v>
      </x:c>
      <x:c r="C94" s="338" t="str">
        <x:v>NOT CHECKED THIS PASS</x:v>
      </x:c>
      <x:c r="D94" s="338" t="str"/>
      <x:c r="E94" s="338" t="str">
        <x:v>Retained from source workbook. No current page/file test completed; prior claims are not upgraded.</x:v>
      </x:c>
      <x:c r="F94" s="338" t="str">
        <x:v>No numerical observation file imported in this pass.</x:v>
      </x:c>
    </x:row>
    <x:row r="95" ht="88" customHeight="1">
      <x:c r="A95" s="337" t="str">
        <x:v>https://scholarspace.library.gwu.edu/etd/tt44pn013</x:v>
      </x:c>
      <x:c r="B95" s="337" t="str">
        <x:v>Citation register: Research Library!U11</x:v>
      </x:c>
      <x:c r="C95" s="337" t="str">
        <x:v>NOT CHECKED THIS PASS</x:v>
      </x:c>
      <x:c r="D95" s="337" t="str"/>
      <x:c r="E95" s="337" t="str">
        <x:v>Retained from source workbook. No current page/file test completed; prior claims are not upgraded.</x:v>
      </x:c>
      <x:c r="F95" s="337" t="str">
        <x:v>No numerical observation file imported in this pass.</x:v>
      </x:c>
    </x:row>
    <x:row r="96" ht="88" customHeight="1">
      <x:c r="A96" s="338" t="str">
        <x:v>https://scholarspace.library.gwu.edu/etd/z316q184z</x:v>
      </x:c>
      <x:c r="B96" s="338" t="str">
        <x:v>Citation register: Research Library!U13</x:v>
      </x:c>
      <x:c r="C96" s="338" t="str">
        <x:v>NOT CHECKED THIS PASS</x:v>
      </x:c>
      <x:c r="D96" s="338" t="str"/>
      <x:c r="E96" s="338" t="str">
        <x:v>Retained from source workbook. No current page/file test completed; prior claims are not upgraded.</x:v>
      </x:c>
      <x:c r="F96" s="338" t="str">
        <x:v>No numerical observation file imported in this pass.</x:v>
      </x:c>
    </x:row>
    <x:row r="97" ht="88" customHeight="1">
      <x:c r="A97" s="337" t="str">
        <x:v>https://scinda.bc.edu/</x:v>
      </x:c>
      <x:c r="B97" s="337" t="str">
        <x:v>Data register: Source Status!H18; Data register: Domestic Contacts!B104; Data register: Domestic Contacts!B105; Data register: Source Directory!G46</x:v>
      </x:c>
      <x:c r="C97" s="337" t="str">
        <x:v>RESTRICTED</x:v>
      </x:c>
      <x:c r="D97" s="337" t="str">
        <x:v>2026-09-15</x:v>
      </x:c>
      <x:c r="E97" s="337" t="str">
        <x:v>Authorized Use Only notice. No restricted data accessed. Public AFRL-derived RSTN/SSIES archives are separate.</x:v>
      </x:c>
      <x:c r="F97" s="337" t="str">
        <x:v>No numerical observation file imported in this pass.</x:v>
      </x:c>
    </x:row>
    <x:row r="98" ht="88" customHeight="1">
      <x:c r="A98" s="338" t="str">
        <x:v>https://sdup.esoc.esa.int/contact</x:v>
      </x:c>
      <x:c r="B98" s="338" t="str">
        <x:v>Data register: POC Register!K14; Data register: Research Fit!G14; Data register: Source Directory!G18; Citation register: Intl Data Requests!J18</x:v>
      </x:c>
      <x:c r="C98" s="338" t="str">
        <x:v>PAGE / DOCUMENT VERIFIED</x:v>
      </x:c>
      <x:c r="D98" s="338" t="str">
        <x:v>2026-09-15</x:v>
      </x:c>
      <x:c r="E98" s="338" t="str">
        <x:v>Orbital-metadata service contact.</x:v>
      </x:c>
      <x:c r="F98" s="338" t="str">
        <x:v>No numerical observation file imported in this pass.</x:v>
      </x:c>
    </x:row>
    <x:row r="99" ht="88" customHeight="1">
      <x:c r="A99" s="337" t="str">
        <x:v>https://search.proquest.com/openview/333ba46b81388bcc3888a092c0bf6879/1.pdf?pq-origsite=gscholar&amp;cbl=18750&amp;diss=y</x:v>
      </x:c>
      <x:c r="B99" s="337" t="str">
        <x:v>Citation register: Research Library!U22</x:v>
      </x:c>
      <x:c r="C99" s="337" t="str">
        <x:v>NOT CHECKED THIS PASS</x:v>
      </x:c>
      <x:c r="D99" s="337" t="str"/>
      <x:c r="E99" s="337" t="str">
        <x:v>Retained from source workbook. No current page/file test completed; prior claims are not upgraded.</x:v>
      </x:c>
      <x:c r="F99" s="337" t="str">
        <x:v>No numerical observation file imported in this pass.</x:v>
      </x:c>
    </x:row>
    <x:row r="100" ht="88" customHeight="1">
      <x:c r="A100" s="338" t="str">
        <x:v>https://search.proquest.com/openview/88a43e1ad35e4f012b3bb98fb476f41b/1?cbl=18750&amp;diss=y&amp;pq-origsite=gscholar</x:v>
      </x:c>
      <x:c r="B100" s="338" t="str">
        <x:v>Citation register: Research Library!U32</x:v>
      </x:c>
      <x:c r="C100" s="338" t="str">
        <x:v>NOT CHECKED THIS PASS</x:v>
      </x:c>
      <x:c r="D100" s="338" t="str"/>
      <x:c r="E100" s="338" t="str">
        <x:v>Retained from source workbook. No current page/file test completed; prior claims are not upgraded.</x:v>
      </x:c>
      <x:c r="F100" s="338" t="str">
        <x:v>No numerical observation file imported in this pass.</x:v>
      </x:c>
    </x:row>
    <x:row r="101" ht="88" customHeight="1">
      <x:c r="A101" s="337" t="str">
        <x:v>https://services.swpc.noaa.gov/</x:v>
      </x:c>
      <x:c r="B101" s="337" t="str">
        <x:v>Data register: Domestic Contacts!B40</x:v>
      </x:c>
      <x:c r="C101" s="337" t="str">
        <x:v>NOT CHECKED THIS PASS</x:v>
      </x:c>
      <x:c r="D101" s="337" t="str"/>
      <x:c r="E101" s="337" t="str">
        <x:v>Retained from source workbook. No current page/file test completed; prior claims are not upgraded.</x:v>
      </x:c>
      <x:c r="F101" s="337" t="str">
        <x:v>No numerical observation file imported in this pass.</x:v>
      </x:c>
    </x:row>
    <x:row r="102" ht="88" customHeight="1">
      <x:c r="A102" s="338" t="str">
        <x:v>https://sirgas.ipgh.org/en/products/ionospheric-maps/</x:v>
      </x:c>
      <x:c r="B102" s="338" t="str">
        <x:v>Data register: Remote Sources 15 Sep!B24; Data register: Source Directory!G26</x:v>
      </x:c>
      <x:c r="C102" s="338" t="str">
        <x:v>PAGE / DOCUMENT VERIFIED</x:v>
      </x:c>
      <x:c r="D102" s="338" t="str">
        <x:v>2026-09-15</x:v>
      </x:c>
      <x:c r="E102" s="338" t="str">
        <x:v>Hourly regional TEC grids described; linked numeric archive not fetched.</x:v>
      </x:c>
      <x:c r="F102" s="338" t="str">
        <x:v>No numerical observation file imported in this pass.</x:v>
      </x:c>
    </x:row>
    <x:row r="103" ht="88" customHeight="1">
      <x:c r="A103" s="337" t="str">
        <x:v>https://smartdata.polito.it/a-first-look-at-starlink-performance-open-data/</x:v>
      </x:c>
      <x:c r="B103" s="337" t="str">
        <x:v>Data register: Expansion 14 Sep!B45; Data register: Expansion Index!F8; Data register: Verified Work Locators!E8; Data register: Source Directory!G22; Citation register: Research Artifacts!E14</x:v>
      </x:c>
      <x:c r="C103" s="337" t="str">
        <x:v>PAGE / DOCUMENT VERIFIED</x:v>
      </x:c>
      <x:c r="D103" s="337" t="str">
        <x:v>2026-09-15</x:v>
      </x:c>
      <x:c r="E103" s="337" t="str">
        <x:v>University open-data landing page; raw archive not inspected.</x:v>
      </x:c>
      <x:c r="F103" s="337" t="str">
        <x:v>No numerical observation file imported in this pass.</x:v>
      </x:c>
    </x:row>
    <x:row r="104" ht="88" customHeight="1">
      <x:c r="A104" s="338" t="str">
        <x:v>https://smokeping.learn.ac.lk/smokeping/smokeping.fcgi?target=Access</x:v>
      </x:c>
      <x:c r="B104" s="338" t="str">
        <x:v>Data register: Remote Sources 15 Sep!B75</x:v>
      </x:c>
      <x:c r="C104" s="338" t="str">
        <x:v>NOT CHECKED THIS PASS</x:v>
      </x:c>
      <x:c r="D104" s="338" t="str"/>
      <x:c r="E104" s="338" t="str">
        <x:v>Retained from source workbook. No current page/file test completed; prior claims are not upgraded.</x:v>
      </x:c>
      <x:c r="F104" s="338" t="str">
        <x:v>No numerical observation file imported in this pass.</x:v>
      </x:c>
    </x:row>
    <x:row r="105" ht="88" customHeight="1">
      <x:c r="A105" s="337" t="str">
        <x:v>https://solartsunamis.otago.ac.nz/mana/mana-contacts/</x:v>
      </x:c>
      <x:c r="B105" s="337" t="str">
        <x:v>Data register: POC Register!L6; Data register: Research Fit!H6</x:v>
      </x:c>
      <x:c r="C105" s="337" t="str">
        <x:v>NOT CHECKED THIS PASS</x:v>
      </x:c>
      <x:c r="D105" s="337" t="str"/>
      <x:c r="E105" s="337" t="str">
        <x:v>Retained from source workbook. No current page/file test completed; prior claims are not upgraded.</x:v>
      </x:c>
      <x:c r="F105" s="337" t="str">
        <x:v>No numerical observation file imported in this pass.</x:v>
      </x:c>
    </x:row>
    <x:row r="106" ht="88" customHeight="1">
      <x:c r="A106" s="338" t="str">
        <x:v>https://solartsunamis.otago.ac.nz/mana/mana-data/</x:v>
      </x:c>
      <x:c r="B106" s="338" t="str">
        <x:v>Data register: POC Register!K6; Data register: Research Fit!G6; Data register: Source Directory!G10; Citation register: Intl Data Requests!J10</x:v>
      </x:c>
      <x:c r="C106" s="338" t="str">
        <x:v>PAGE / DOCUMENT VERIFIED</x:v>
      </x:c>
      <x:c r="D106" s="338" t="str">
        <x:v>2026-09-15</x:v>
      </x:c>
      <x:c r="E106" s="338" t="str">
        <x:v>Data-access policy/request route; sample not inspected.</x:v>
      </x:c>
      <x:c r="F106" s="338" t="str">
        <x:v>No numerical observation file imported in this pass.</x:v>
      </x:c>
    </x:row>
    <x:row r="107" ht="88" customHeight="1">
      <x:c r="A107" s="337" t="str">
        <x:v>https://spaceweather.facet.unt.edu.ar/ionoagram-database/</x:v>
      </x:c>
      <x:c r="B107" s="337" t="str">
        <x:v>Data register: Access and Sampling!B23; Data register: Source Directory!G49</x:v>
      </x:c>
      <x:c r="C107" s="337" t="str">
        <x:v>PAGE / DOCUMENT VERIFIED</x:v>
      </x:c>
      <x:c r="D107" s="337" t="str">
        <x:v>2026-09-15</x:v>
      </x:c>
      <x:c r="E107" s="337" t="str">
        <x:v>Argentina/Chile ionogram database page; actual numeric files not fetched.</x:v>
      </x:c>
      <x:c r="F107" s="337" t="str">
        <x:v>No numerical observation file imported in this pass.</x:v>
      </x:c>
    </x:row>
    <x:row r="108" ht="88" customHeight="1">
      <x:c r="A108" s="338" t="str">
        <x:v>https://spaceweather.sansa.org.za/products-and-services/current-conditions/geomagnetic-data</x:v>
      </x:c>
      <x:c r="B108" s="338" t="str">
        <x:v>Data register: POC Register!L10; Data register: Research Fit!G10; Data register: SANSA Update 14 Sep!B11</x:v>
      </x:c>
      <x:c r="C108" s="338" t="str">
        <x:v>FETCH / PARSE UNRESOLVED</x:v>
      </x:c>
      <x:c r="D108" s="338" t="str">
        <x:v>2026-09-15</x:v>
      </x:c>
      <x:c r="E108" s="338" t="str">
        <x:v>Tool fetch unresolved; Kate confirmed route but current numerical access not tested.</x:v>
      </x:c>
      <x:c r="F108" s="338" t="str">
        <x:v>No numerical observation file imported in this pass.</x:v>
      </x:c>
    </x:row>
    <x:row r="109" ht="88" customHeight="1">
      <x:c r="A109" s="337" t="str">
        <x:v>https://spdf.gsfc.nasa.gov/isis/</x:v>
      </x:c>
      <x:c r="B109" s="337" t="str">
        <x:v>Data register: Remote Sources 15 Sep!B146; Data register: Source Directory!G36</x:v>
      </x:c>
      <x:c r="C109" s="337" t="str">
        <x:v>PAGE / DOCUMENT VERIFIED</x:v>
      </x:c>
      <x:c r="D109" s="337" t="str">
        <x:v>2026-09-15</x:v>
      </x:c>
      <x:c r="E109" s="337" t="str">
        <x:v>Public ionogram restoration catalog with CDF/binary routes; not packet latency.</x:v>
      </x:c>
      <x:c r="F109" s="337" t="str">
        <x:v>No numerical observation file imported in this pass.</x:v>
      </x:c>
    </x:row>
    <x:row r="110" ht="88" customHeight="1">
      <x:c r="A110" s="338" t="str">
        <x:v>https://spdf.gsfc.nasa.gov/isis/isis_read_background.html</x:v>
      </x:c>
      <x:c r="B110" s="338" t="str">
        <x:v>Data register: Remote Sources 15 Sep!B147</x:v>
      </x:c>
      <x:c r="C110" s="338" t="str">
        <x:v>NOT CHECKED THIS PASS</x:v>
      </x:c>
      <x:c r="D110" s="338" t="str"/>
      <x:c r="E110" s="338" t="str">
        <x:v>Retained from source workbook. No current page/file test completed; prior claims are not upgraded.</x:v>
      </x:c>
      <x:c r="F110" s="338" t="str">
        <x:v>No numerical observation file imported in this pass.</x:v>
      </x:c>
    </x:row>
    <x:row r="111" ht="88" customHeight="1">
      <x:c r="A111" s="337" t="str">
        <x:v>https://swc.nict.go.jp/en/</x:v>
      </x:c>
      <x:c r="B111" s="337" t="str">
        <x:v>Data register: POC Register!L2; Data register: Research Fit!H2</x:v>
      </x:c>
      <x:c r="C111" s="337" t="str">
        <x:v>NOT CHECKED THIS PASS</x:v>
      </x:c>
      <x:c r="D111" s="337" t="str"/>
      <x:c r="E111" s="337" t="str">
        <x:v>Retained from source workbook. No current page/file test completed; prior claims are not upgraded.</x:v>
      </x:c>
      <x:c r="F111" s="337" t="str">
        <x:v>No numerical observation file imported in this pass.</x:v>
      </x:c>
    </x:row>
    <x:row r="112" ht="88" customHeight="1">
      <x:c r="A112" s="338" t="str">
        <x:v>https://swe.ssa.esa.int/contact</x:v>
      </x:c>
      <x:c r="B112" s="338" t="str">
        <x:v>Data register: POC Register!K11; Data register: Research Fit!G11; Data register: Source Directory!G15; Citation register: Intl Data Requests!J15</x:v>
      </x:c>
      <x:c r="C112" s="338" t="str">
        <x:v>PAGE / DOCUMENT VERIFIED</x:v>
      </x:c>
      <x:c r="D112" s="338" t="str">
        <x:v>2026-09-15</x:v>
      </x:c>
      <x:c r="E112" s="338" t="str">
        <x:v>Helpdesk contact, not dataset download.</x:v>
      </x:c>
      <x:c r="F112" s="338" t="str">
        <x:v>No numerical observation file imported in this pass.</x:v>
      </x:c>
    </x:row>
    <x:row r="113" ht="88" customHeight="1">
      <x:c r="A113" s="337" t="str">
        <x:v>https://sws-data.sws.bom.gov.au/</x:v>
      </x:c>
      <x:c r="B113" s="337" t="str">
        <x:v>Data register: Australia Sources!H10</x:v>
      </x:c>
      <x:c r="C113" s="337" t="str">
        <x:v>NOT CHECKED THIS PASS</x:v>
      </x:c>
      <x:c r="D113" s="337" t="str"/>
      <x:c r="E113" s="337" t="str">
        <x:v>Retained from source workbook. No current page/file test completed; prior claims are not upgraded.</x:v>
      </x:c>
      <x:c r="F113" s="337" t="str">
        <x:v>No numerical observation file imported in this pass.</x:v>
      </x:c>
    </x:row>
    <x:row r="114" ht="88" customHeight="1">
      <x:c r="A114" s="338" t="str">
        <x:v>https://user.eumetsat.int/</x:v>
      </x:c>
      <x:c r="B114" s="338" t="str">
        <x:v>Data register: POC Register!L12; Data register: Research Fit!H12</x:v>
      </x:c>
      <x:c r="C114" s="338" t="str">
        <x:v>NOT CHECKED THIS PASS</x:v>
      </x:c>
      <x:c r="D114" s="338" t="str"/>
      <x:c r="E114" s="338" t="str">
        <x:v>Retained from source workbook. No current page/file test completed; prior claims are not upgraded.</x:v>
      </x:c>
      <x:c r="F114" s="338" t="str">
        <x:v>No numerical observation file imported in this pass.</x:v>
      </x:c>
    </x:row>
    <x:row r="115" ht="88" customHeight="1">
      <x:c r="A115" s="337" t="str">
        <x:v>https://wdc.iigm.res.in/</x:v>
      </x:c>
      <x:c r="B115" s="337" t="str">
        <x:v>Data register: Remote Sources 15 Sep!B84; Data register: Source Directory!G30</x:v>
      </x:c>
      <x:c r="C115" s="337" t="str">
        <x:v>PAGE / DOCUMENT VERIFIED</x:v>
      </x:c>
      <x:c r="D115" s="337" t="str">
        <x:v>2026-09-15</x:v>
      </x:c>
      <x:c r="E115" s="337" t="str">
        <x:v>Geomagnetic catalog; exact station/file not inspected.</x:v>
      </x:c>
      <x:c r="F115" s="337" t="str">
        <x:v>No numerical observation file imported in this pass.</x:v>
      </x:c>
    </x:row>
    <x:row r="116" ht="88" customHeight="1">
      <x:c r="A116" s="338" t="str">
        <x:v>https://wdc.nict.go.jp/Ionosphere/en/archive/</x:v>
      </x:c>
      <x:c r="B116" s="338" t="str">
        <x:v>Data register: Access and Sampling!B30; Data register: Source Directory!G50</x:v>
      </x:c>
      <x:c r="C116" s="338" t="str">
        <x:v>PAGE / DOCUMENT VERIFIED</x:v>
      </x:c>
      <x:c r="D116" s="338" t="str">
        <x:v>2026-09-15</x:v>
      </x:c>
      <x:c r="E116" s="338" t="str">
        <x:v>Public ionospheric archive paths; choose station/product/time.</x:v>
      </x:c>
      <x:c r="F116" s="338" t="str">
        <x:v>No numerical observation file imported in this pass.</x:v>
      </x:c>
    </x:row>
    <x:row r="117" ht="88" customHeight="1">
      <x:c r="A117" s="337" t="str">
        <x:v>https://wdc.nict.go.jp/wdc-top/contact.html</x:v>
      </x:c>
      <x:c r="B117" s="337" t="str">
        <x:v>Data register: POC Register!K2; Data register: Research Fit!G2; Data register: Source Directory!G6; Citation register: Intl Data Requests!J6</x:v>
      </x:c>
      <x:c r="C117" s="337" t="str">
        <x:v>PAGE / DOCUMENT VERIFIED</x:v>
      </x:c>
      <x:c r="D117" s="337" t="str">
        <x:v>2026-09-15</x:v>
      </x:c>
      <x:c r="E117" s="337" t="str">
        <x:v>Contact / archive links; not a latency dataset.</x:v>
      </x:c>
      <x:c r="F117" s="337" t="str">
        <x:v>No numerical observation file imported in this pass.</x:v>
      </x:c>
    </x:row>
    <x:row r="118" ht="88" customHeight="1">
      <x:c r="A118" s="338" t="str">
        <x:v>https://weather.metoffice.gov.uk/learn-about/space-weather/met-office-role</x:v>
      </x:c>
      <x:c r="B118" s="338" t="str">
        <x:v>Data register: POC Register!K9; Data register: Research Fit!G9; Data register: Source Directory!G13; Citation register: Intl Data Requests!J13</x:v>
      </x:c>
      <x:c r="C118" s="338" t="str">
        <x:v>PAGE / DOCUMENT VERIFIED</x:v>
      </x:c>
      <x:c r="D118" s="338" t="str">
        <x:v>2026-09-15</x:v>
      </x:c>
      <x:c r="E118" s="338" t="str">
        <x:v>Environmental service description, not direct link metrics.</x:v>
      </x:c>
      <x:c r="F118" s="338" t="str">
        <x:v>No numerical observation file imported in this pass.</x:v>
      </x:c>
    </x:row>
    <x:row r="119" ht="88" customHeight="1">
      <x:c r="A119" s="337" t="str">
        <x:v>https://web.uvic.ca/~pan</x:v>
      </x:c>
      <x:c r="B119" s="337" t="str">
        <x:v>Data register: POC Register!AA3</x:v>
      </x:c>
      <x:c r="C119" s="337" t="str">
        <x:v>NOT CHECKED THIS PASS</x:v>
      </x:c>
      <x:c r="D119" s="337" t="str"/>
      <x:c r="E119" s="337" t="str">
        <x:v>Retained from source workbook. No current page/file test completed; prior claims are not upgraded.</x:v>
      </x:c>
      <x:c r="F119" s="337" t="str">
        <x:v>No numerical observation file imported in this pass.</x:v>
      </x:c>
    </x:row>
    <x:row r="120" ht="88" customHeight="1">
      <x:c r="A120" s="338" t="str">
        <x:v>https://www.ac.lk/network</x:v>
      </x:c>
      <x:c r="B120" s="338" t="str">
        <x:v>Data register: Remote Sources 15 Sep!B73; Data register: Source Directory!G29</x:v>
      </x:c>
      <x:c r="C120" s="338" t="str">
        <x:v>PAGE / DOCUMENT VERIFIED</x:v>
      </x:c>
      <x:c r="D120" s="338" t="str">
        <x:v>2026-09-15</x:v>
      </x:c>
      <x:c r="E120" s="338" t="str">
        <x:v>Sri Lankan academic network information; historical numeric export unconfirmed.</x:v>
      </x:c>
      <x:c r="F120" s="338" t="str">
        <x:v>No numerical observation file imported in this pass.</x:v>
      </x:c>
    </x:row>
    <x:row r="121" ht="88" customHeight="1">
      <x:c r="A121" s="337" t="str">
        <x:v>https://www.bas.ac.uk/project/superdarn/</x:v>
      </x:c>
      <x:c r="B121" s="337" t="str">
        <x:v>Data register: Access and Sampling!B44; Data register: Source Directory!G52</x:v>
      </x:c>
      <x:c r="C121" s="337" t="str">
        <x:v>SHELL ONLY</x:v>
      </x:c>
      <x:c r="D121" s="337" t="str">
        <x:v>2026-09-15</x:v>
      </x:c>
      <x:c r="E121" s="337" t="str">
        <x:v>Only minimal shell/text returned; deeper catalogue/API remains to test.</x:v>
      </x:c>
      <x:c r="F121" s="337" t="str">
        <x:v>No numerical observation file imported in this pass.</x:v>
      </x:c>
    </x:row>
    <x:row r="122" ht="88" customHeight="1">
      <x:c r="A122" s="338" t="str">
        <x:v>https://www.bdren.net.bd/service/quality-service</x:v>
      </x:c>
      <x:c r="B122" s="338" t="str">
        <x:v>Data register: Remote Sources 15 Sep!B106</x:v>
      </x:c>
      <x:c r="C122" s="338" t="str">
        <x:v>NOT CHECKED THIS PASS</x:v>
      </x:c>
      <x:c r="D122" s="338" t="str"/>
      <x:c r="E122" s="338" t="str">
        <x:v>Retained from source workbook. No current page/file test completed; prior claims are not upgraded.</x:v>
      </x:c>
      <x:c r="F122" s="338" t="str">
        <x:v>No numerical observation file imported in this pass.</x:v>
      </x:c>
    </x:row>
    <x:row r="123" ht="88" customHeight="1">
      <x:c r="A123" s="337" t="str">
        <x:v>https://www.eumetsat.int/contact-eumetsat</x:v>
      </x:c>
      <x:c r="B123" s="337" t="str">
        <x:v>Data register: POC Register!K12; Data register: Research Fit!G12; Data register: Source Directory!G16; Citation register: Intl Data Requests!J16</x:v>
      </x:c>
      <x:c r="C123" s="337" t="str">
        <x:v>PAGE / DOCUMENT VERIFIED</x:v>
      </x:c>
      <x:c r="D123" s="337" t="str">
        <x:v>2026-09-15</x:v>
      </x:c>
      <x:c r="E123" s="337" t="str">
        <x:v>Contact/data-service routing only.</x:v>
      </x:c>
      <x:c r="F123" s="337" t="str">
        <x:v>No numerical observation file imported in this pass.</x:v>
      </x:c>
    </x:row>
    <x:row r="124" ht="88" customHeight="1">
      <x:c r="A124" s="338" t="str">
        <x:v>https://www.gfz.de/en/section/geomagnetism/infrastructure/geomagnetic-observatories/tristan-da-cunha</x:v>
      </x:c>
      <x:c r="B124" s="338" t="str">
        <x:v>Data register: Remote Sources 15 Sep!B125; Data register: Source Directory!G34</x:v>
      </x:c>
      <x:c r="C124" s="338" t="str">
        <x:v>PAGE / DOCUMENT VERIFIED</x:v>
      </x:c>
      <x:c r="D124" s="338" t="str">
        <x:v>2026-09-15</x:v>
      </x:c>
      <x:c r="E124" s="338" t="str">
        <x:v>Geomagnetic observatory page; no verified new GNSS time series.</x:v>
      </x:c>
      <x:c r="F124" s="338" t="str">
        <x:v>No numerical observation file imported in this pass.</x:v>
      </x:c>
    </x:row>
    <x:row r="125" ht="88" customHeight="1">
      <x:c r="A125" s="337" t="str">
        <x:v>https://www.gns.cri.nz/about-us/staff-search/tanja-petersen/</x:v>
      </x:c>
      <x:c r="B125" s="337" t="str">
        <x:v>Data register: POC Register!K7; Data register: Research Fit!G7; Data register: Source Directory!G11; Citation register: Intl Data Requests!J11</x:v>
      </x:c>
      <x:c r="C125" s="337" t="str">
        <x:v>PAGE / DOCUMENT VERIFIED</x:v>
      </x:c>
      <x:c r="D125" s="337" t="str">
        <x:v>2026-09-15</x:v>
      </x:c>
      <x:c r="E125" s="337" t="str">
        <x:v>Scientist profile/referral, not data file.</x:v>
      </x:c>
      <x:c r="F125" s="337" t="str">
        <x:v>No numerical observation file imported in this pass.</x:v>
      </x:c>
    </x:row>
    <x:row r="126" ht="88" customHeight="1">
      <x:c r="A126" s="338" t="str">
        <x:v>https://www.iigm.res.in/facilities-service-corners/world-data-centre</x:v>
      </x:c>
      <x:c r="B126" s="338" t="str">
        <x:v>Data register: Remote Sources 15 Sep!B85</x:v>
      </x:c>
      <x:c r="C126" s="338" t="str">
        <x:v>NOT CHECKED THIS PASS</x:v>
      </x:c>
      <x:c r="D126" s="338" t="str"/>
      <x:c r="E126" s="338" t="str">
        <x:v>Retained from source workbook. No current page/file test completed; prior claims are not upgraded.</x:v>
      </x:c>
      <x:c r="F126" s="338" t="str">
        <x:v>No numerical observation file imported in this pass.</x:v>
      </x:c>
    </x:row>
    <x:row r="127" ht="88" customHeight="1">
      <x:c r="A127" s="337" t="str">
        <x:v>https://www.kaggle.com/datasets/ferrazani/mobile-leo-satellite-access-network</x:v>
      </x:c>
      <x:c r="B127" s="337" t="str">
        <x:v>Data register: Expansion 14 Sep!B56; Data register: Expansion Index!F9; Data register: Remote Sources 15 Sep!B53; Data register: Source Directory!G23</x:v>
      </x:c>
      <x:c r="C127" s="337" t="str">
        <x:v>SHELL ONLY</x:v>
      </x:c>
      <x:c r="D127" s="337" t="str">
        <x:v>2026-09-15</x:v>
      </x:c>
      <x:c r="E127" s="337" t="str">
        <x:v>Dataset shell reached; file contents and login needs not established in this run.</x:v>
      </x:c>
      <x:c r="F127" s="337" t="str">
        <x:v>No numerical observation file imported in this pass.</x:v>
      </x:c>
    </x:row>
    <x:row r="128" ht="88" customHeight="1">
      <x:c r="A128" s="338" t="str">
        <x:v>https://www.kau.se/en/researchers/johan-garcia</x:v>
      </x:c>
      <x:c r="B128" s="338" t="str">
        <x:v>Data register: Expansion 14 Sep!B24</x:v>
      </x:c>
      <x:c r="C128" s="338" t="str">
        <x:v>NOT CHECKED THIS PASS</x:v>
      </x:c>
      <x:c r="D128" s="338" t="str"/>
      <x:c r="E128" s="338" t="str">
        <x:v>Retained from source workbook. No current page/file test completed; prior claims are not upgraded.</x:v>
      </x:c>
      <x:c r="F128" s="338" t="str">
        <x:v>No numerical observation file imported in this pass.</x:v>
      </x:c>
    </x:row>
    <x:row r="129" ht="88" customHeight="1">
      <x:c r="A129" s="337" t="str">
        <x:v>https://www.mbie.govt.nz/science-and-technology/space/connect-with-nzsa</x:v>
      </x:c>
      <x:c r="B129" s="337" t="str">
        <x:v>Data register: POC Register!K13; Data register: Research Fit!G13; Data register: Source Directory!G17; Citation register: Intl Data Requests!J17</x:v>
      </x:c>
      <x:c r="C129" s="337" t="str">
        <x:v>FETCH / PARSE UNRESOLVED</x:v>
      </x:c>
      <x:c r="D129" s="337" t="str">
        <x:v>2026-09-15</x:v>
      </x:c>
      <x:c r="E129" s="337" t="str">
        <x:v>Tool fetch unresolved; referral remains a lead.</x:v>
      </x:c>
      <x:c r="F129" s="337" t="str">
        <x:v>No numerical observation file imported in this pass.</x:v>
      </x:c>
    </x:row>
    <x:row r="130" ht="88" customHeight="1">
      <x:c r="A130" s="338" t="str">
        <x:v>https://www.measurementlab.net/data/</x:v>
      </x:c>
      <x:c r="B130" s="338" t="str">
        <x:v>Data register: Remote Sources 15 Sep!B167; Data register: Source Directory!G38</x:v>
      </x:c>
      <x:c r="C130" s="338" t="str">
        <x:v>PAGE / DOCUMENT VERIFIED</x:v>
      </x:c>
      <x:c r="D130" s="338" t="str">
        <x:v>2026-09-15</x:v>
      </x:c>
      <x:c r="E130" s="338" t="str">
        <x:v>Public network measurement archive/query documentation; no country-specific sample selected.</x:v>
      </x:c>
      <x:c r="F130" s="338" t="str">
        <x:v>No numerical observation file imported in this pass.</x:v>
      </x:c>
    </x:row>
    <x:row r="131" ht="88" customHeight="1">
      <x:c r="A131" s="337" t="str">
        <x:v>https://www.metoffice.gov.uk/about-us/contact</x:v>
      </x:c>
      <x:c r="B131" s="337" t="str">
        <x:v>Data register: POC Register!L9; Data register: Research Fit!H9</x:v>
      </x:c>
      <x:c r="C131" s="337" t="str">
        <x:v>NOT CHECKED THIS PASS</x:v>
      </x:c>
      <x:c r="D131" s="337" t="str"/>
      <x:c r="E131" s="337" t="str">
        <x:v>Retained from source workbook. No current page/file test completed; prior claims are not upgraded.</x:v>
      </x:c>
      <x:c r="F131" s="337" t="str">
        <x:v>No numerical observation file imported in this pass.</x:v>
      </x:c>
    </x:row>
    <x:row r="132" ht="88" customHeight="1">
      <x:c r="A132" s="338" t="str">
        <x:v>https://www.nasa.gov/directorates/somd/space-communications-navigation-program/contact-scan/</x:v>
      </x:c>
      <x:c r="B132" s="338" t="str">
        <x:v>Data register: Domestic Contacts!B13; Data register: Source Directory!G39</x:v>
      </x:c>
      <x:c r="C132" s="338" t="str">
        <x:v>PAGE / DOCUMENT VERIFIED</x:v>
      </x:c>
      <x:c r="D132" s="338" t="str">
        <x:v>2026-09-15</x:v>
      </x:c>
      <x:c r="E132" s="338" t="str">
        <x:v>SCaN contact route; not a weekly performance feed.</x:v>
      </x:c>
      <x:c r="F132" s="338" t="str">
        <x:v>No numerical observation file imported in this pass.</x:v>
      </x:c>
    </x:row>
    <x:row r="133" ht="88" customHeight="1">
      <x:c r="A133" s="337" t="str">
        <x:v>https://www.nasa.gov/wp-content/uploads/2023/09/scan-add-vol1rev4.pdf</x:v>
      </x:c>
      <x:c r="B133" s="337" t="str">
        <x:v>Data register: Domestic Contacts!B14; Citation register: Research Artifacts!E7</x:v>
      </x:c>
      <x:c r="C133" s="337" t="str">
        <x:v>NOT CHECKED THIS PASS</x:v>
      </x:c>
      <x:c r="D133" s="337" t="str"/>
      <x:c r="E133" s="337" t="str">
        <x:v>Retained from source workbook. No current page/file test completed; prior claims are not upgraded.</x:v>
      </x:c>
      <x:c r="F133" s="337" t="str">
        <x:v>No numerical observation file imported in this pass.</x:v>
      </x:c>
    </x:row>
    <x:row r="134" ht="88" customHeight="1">
      <x:c r="A134" s="338" t="str">
        <x:v>https://www.ncei.noaa.gov/access</x:v>
      </x:c>
      <x:c r="B134" s="338" t="str">
        <x:v>Data register: Domestic Contacts!B66</x:v>
      </x:c>
      <x:c r="C134" s="338" t="str">
        <x:v>NOT CHECKED THIS PASS</x:v>
      </x:c>
      <x:c r="D134" s="338" t="str"/>
      <x:c r="E134" s="338" t="str">
        <x:v>Retained from source workbook. No current page/file test completed; prior claims are not upgraded.</x:v>
      </x:c>
      <x:c r="F134" s="338" t="str">
        <x:v>No numerical observation file imported in this pass.</x:v>
      </x:c>
    </x:row>
    <x:row r="135" ht="88" customHeight="1">
      <x:c r="A135" s="337" t="str">
        <x:v>https://www.ncei.noaa.gov/cloud-access/space-weather-portal/</x:v>
      </x:c>
      <x:c r="B135" s="337" t="str">
        <x:v>15 Sep verification / supplemental product</x:v>
      </x:c>
      <x:c r="C135" s="337" t="str">
        <x:v>SHELL ONLY</x:v>
      </x:c>
      <x:c r="D135" s="337" t="str">
        <x:v>2026-09-15</x:v>
      </x:c>
      <x:c r="E135" s="337" t="str">
        <x:v>SPOT app shell only; use direct file directories for reproducible imports.</x:v>
      </x:c>
      <x:c r="F135" s="337" t="str">
        <x:v>No numerical observation file imported in this pass.</x:v>
      </x:c>
    </x:row>
    <x:row r="136" ht="88" customHeight="1">
      <x:c r="A136" s="338" t="str">
        <x:v>https://www.ncei.noaa.gov/contact</x:v>
      </x:c>
      <x:c r="B136" s="338" t="str">
        <x:v>Data register: Source Status!H16; Data register: Source Status!H17; Data register: Domestic Contacts!B52; Data register: Domestic Contacts!B65; Data register: Source Directory!G42; Data register: Source Directory!G43</x:v>
      </x:c>
      <x:c r="C136" s="338" t="str">
        <x:v>PAGE / DOCUMENT VERIFIED</x:v>
      </x:c>
      <x:c r="D136" s="338" t="str">
        <x:v>2026-09-15</x:v>
      </x:c>
      <x:c r="E136" s="338" t="str">
        <x:v>NCEI contact route and migration notice.</x:v>
      </x:c>
      <x:c r="F136" s="338" t="str">
        <x:v>No numerical observation file imported in this pass.</x:v>
      </x:c>
    </x:row>
    <x:row r="137" ht="88" customHeight="1">
      <x:c r="A137" s="337" t="str">
        <x:v>https://www.ncei.noaa.gov/news/nceis-ionosonde-data-program-coming-end</x:v>
      </x:c>
      <x:c r="B137" s="337" t="str">
        <x:v>Data register: Remote Sources 15 Sep!B158</x:v>
      </x:c>
      <x:c r="C137" s="337" t="str">
        <x:v>NOT CHECKED THIS PASS</x:v>
      </x:c>
      <x:c r="D137" s="337" t="str"/>
      <x:c r="E137" s="337" t="str">
        <x:v>Retained from source workbook. No current page/file test completed; prior claims are not upgraded.</x:v>
      </x:c>
      <x:c r="F137" s="337" t="str">
        <x:v>No numerical observation file imported in this pass.</x:v>
      </x:c>
    </x:row>
    <x:row r="138" ht="88" customHeight="1">
      <x:c r="A138" s="338" t="str">
        <x:v>https://www.ncei.noaa.gov/products/deep-space-climate-observatory-dscovr</x:v>
      </x:c>
      <x:c r="B138" s="338" t="str">
        <x:v>15 Sep verification / supplemental product</x:v>
      </x:c>
      <x:c r="C138" s="338" t="str">
        <x:v>PAGE / DOCUMENT VERIFIED</x:v>
      </x:c>
      <x:c r="D138" s="338" t="str">
        <x:v>2026-09-15</x:v>
      </x:c>
      <x:c r="E138" s="338" t="str">
        <x:v>Solar-wind fields, direct product routes; current live coverage not independently confirmed.</x:v>
      </x:c>
      <x:c r="F138" s="338" t="str">
        <x:v>No numerical observation file imported in this pass.</x:v>
      </x:c>
    </x:row>
    <x:row r="139" ht="88" customHeight="1">
      <x:c r="A139" s="337" t="str">
        <x:v>https://www.ncei.noaa.gov/products/dmsp-ion-electron-scintillation</x:v>
      </x:c>
      <x:c r="B139" s="337" t="str">
        <x:v>15 Sep verification / supplemental product</x:v>
      </x:c>
      <x:c r="C139" s="337" t="str">
        <x:v>PAGE / DOCUMENT VERIFIED</x:v>
      </x:c>
      <x:c r="D139" s="337" t="str">
        <x:v>2026-09-15</x:v>
      </x:c>
      <x:c r="E139" s="337" t="str">
        <x:v>SSIES sensor/coverage details: June1987-May2024 with gaps; selected fields require file inspection.</x:v>
      </x:c>
      <x:c r="F139" s="337" t="str">
        <x:v>No numerical observation file imported in this pass.</x:v>
      </x:c>
    </x:row>
    <x:row r="140" ht="88" customHeight="1">
      <x:c r="A140" s="338" t="str">
        <x:v>https://www.ncei.noaa.gov/products/goes-1-15/space-weather-instruments</x:v>
      </x:c>
      <x:c r="B140" s="338" t="str">
        <x:v>15 Sep verification / supplemental product</x:v>
      </x:c>
      <x:c r="C140" s="338" t="str">
        <x:v>PAGE / DOCUMENT VERIFIED</x:v>
      </x:c>
      <x:c r="D140" s="338" t="str">
        <x:v>2026-09-15</x:v>
      </x:c>
      <x:c r="E140" s="338" t="str">
        <x:v>Historical XRS products and calibration cautions.</x:v>
      </x:c>
      <x:c r="F140" s="338" t="str">
        <x:v>No numerical observation file imported in this pass.</x:v>
      </x:c>
    </x:row>
    <x:row r="141" ht="88" customHeight="1">
      <x:c r="A141" s="337" t="str">
        <x:v>https://www.ncei.noaa.gov/products/goes-r-extreme-ultraviolet-xray-irradiance</x:v>
      </x:c>
      <x:c r="B141" s="337" t="str">
        <x:v>15 Sep verification / supplemental product</x:v>
      </x:c>
      <x:c r="C141" s="337" t="str">
        <x:v>PAGE / DOCUMENT VERIFIED</x:v>
      </x:c>
      <x:c r="D141" s="337" t="str">
        <x:v>2026-09-15</x:v>
      </x:c>
      <x:c r="E141" s="337" t="str">
        <x:v>L2 EXIS products, NetCDF/CSV lists, quality docs, code and citation sources.</x:v>
      </x:c>
      <x:c r="F141" s="337" t="str">
        <x:v>No numerical observation file imported in this pass.</x:v>
      </x:c>
    </x:row>
    <x:row r="142" ht="88" customHeight="1">
      <x:c r="A142" s="338" t="str">
        <x:v>https://www.ncei.noaa.gov/products/goes-r-magnetometer</x:v>
      </x:c>
      <x:c r="B142" s="338" t="str">
        <x:v>15 Sep verification / supplemental product</x:v>
      </x:c>
      <x:c r="C142" s="338" t="str">
        <x:v>PAGE / DOCUMENT VERIFIED</x:v>
      </x:c>
      <x:c r="D142" s="338" t="str">
        <x:v>2026-09-15</x:v>
      </x:c>
      <x:c r="E142" s="338" t="str">
        <x:v>MAG vector products and cadence/coordinate documentation.</x:v>
      </x:c>
      <x:c r="F142" s="338" t="str">
        <x:v>No numerical observation file imported in this pass.</x:v>
      </x:c>
    </x:row>
    <x:row r="143" ht="88" customHeight="1">
      <x:c r="A143" s="337" t="str">
        <x:v>https://www.ncei.noaa.gov/products/satellite-anomalies</x:v>
      </x:c>
      <x:c r="B143" s="337" t="str">
        <x:v>15 Sep verification / supplemental product</x:v>
      </x:c>
      <x:c r="C143" s="337" t="str">
        <x:v>PAGE / DOCUMENT VERIFIED</x:v>
      </x:c>
      <x:c r="D143" s="337" t="str">
        <x:v>2026-09-15</x:v>
      </x:c>
      <x:c r="E143" s="337" t="str">
        <x:v>Excel/document anomaly examples; not uniform end-to-end uptime records.</x:v>
      </x:c>
      <x:c r="F143" s="337" t="str">
        <x:v>No numerical observation file imported in this pass.</x:v>
      </x:c>
    </x:row>
    <x:row r="144" ht="88" customHeight="1">
      <x:c r="A144" s="338" t="str">
        <x:v>https://www.ncei.noaa.gov/products/space-weather</x:v>
      </x:c>
      <x:c r="B144" s="338" t="str">
        <x:v>Data register: Domestic Contacts!B53</x:v>
      </x:c>
      <x:c r="C144" s="338" t="str">
        <x:v>PAGE / DOCUMENT VERIFIED</x:v>
      </x:c>
      <x:c r="D144" s="338" t="str">
        <x:v>2026-09-15</x:v>
      </x:c>
      <x:c r="E144" s="338" t="str">
        <x:v>NCEI space-weather catalog and inventory; no engineering link records per Josh.</x:v>
      </x:c>
      <x:c r="F144" s="338" t="str">
        <x:v>No numerical observation file imported in this pass.</x:v>
      </x:c>
    </x:row>
    <x:row r="145" ht="88" customHeight="1">
      <x:c r="A145" s="337" t="str">
        <x:v>https://www.ncei.noaa.gov/sites/default/files/2025-08/NCEI_Space_Weather_Products.pdf</x:v>
      </x:c>
      <x:c r="B145" s="337" t="str">
        <x:v>15 Sep verification / supplemental product</x:v>
      </x:c>
      <x:c r="C145" s="337" t="str">
        <x:v>PAGE / DOCUMENT VERIFIED</x:v>
      </x:c>
      <x:c r="D145" s="337" t="str">
        <x:v>2026-09-15</x:v>
      </x:c>
      <x:c r="E145" s="337" t="str">
        <x:v>9-page inventory parsed; coverage/cadence claims are catalog metadata, not continuity checks.</x:v>
      </x:c>
      <x:c r="F145" s="337" t="str">
        <x:v>No numerical observation file imported in this pass.</x:v>
      </x:c>
    </x:row>
    <x:row r="146" ht="88" customHeight="1">
      <x:c r="A146" s="338" t="str">
        <x:v>https://www.nesdis.noaa.gov/about/documents-reports/notice-of-changes/2025-notice-of-changes/dmsp-space-weather-products</x:v>
      </x:c>
      <x:c r="B146" s="338" t="str">
        <x:v>15 Sep verification / supplemental product</x:v>
      </x:c>
      <x:c r="C146" s="338" t="str">
        <x:v>PAGE / DOCUMENT VERIFIED</x:v>
      </x:c>
      <x:c r="D146" s="338" t="str">
        <x:v>2026-09-15</x:v>
      </x:c>
      <x:c r="E146" s="338" t="str">
        <x:v>Official notice: new DMSP space-weather distribution suspended; historical archive remains.</x:v>
      </x:c>
      <x:c r="F146" s="338" t="str">
        <x:v>No numerical observation file imported in this pass.</x:v>
      </x:c>
    </x:row>
    <x:row r="147" ht="88" customHeight="1">
      <x:c r="A147" s="337" t="str">
        <x:v>https://www.rand.org/pubs/research_reports/RRA980-1.html</x:v>
      </x:c>
      <x:c r="B147" s="337" t="str">
        <x:v>Data register: Domestic Contacts!B79</x:v>
      </x:c>
      <x:c r="C147" s="337" t="str">
        <x:v>NOT CHECKED THIS PASS</x:v>
      </x:c>
      <x:c r="D147" s="337" t="str"/>
      <x:c r="E147" s="337" t="str">
        <x:v>Retained from source workbook. No current page/file test completed; prior claims are not upgraded.</x:v>
      </x:c>
      <x:c r="F147" s="337" t="str">
        <x:v>No numerical observation file imported in this pass.</x:v>
      </x:c>
    </x:row>
    <x:row r="148" ht="88" customHeight="1">
      <x:c r="A148" s="338" t="str">
        <x:v>https://www.rice.unam.mx/</x:v>
      </x:c>
      <x:c r="B148" s="338" t="str">
        <x:v>Data register: Remote Sources 15 Sep!B13; Data register: Source Directory!G25</x:v>
      </x:c>
      <x:c r="C148" s="338" t="str">
        <x:v>FETCH / PARSE UNRESOLVED</x:v>
      </x:c>
      <x:c r="D148" s="338" t="str">
        <x:v>2026-09-15</x:v>
      </x:c>
      <x:c r="E148" s="338" t="str">
        <x:v>Tool fetch unresolved; site availability unconfirmed.</x:v>
      </x:c>
      <x:c r="F148" s="338" t="str">
        <x:v>No numerical observation file imported in this pass.</x:v>
      </x:c>
    </x:row>
    <x:row r="149" ht="88" customHeight="1">
      <x:c r="A149" s="337" t="str">
        <x:v>https://www.ripe.net/about-us/support/contact/contact-us/</x:v>
      </x:c>
      <x:c r="B149" s="337" t="str">
        <x:v>Data register: POC Register!L5; Data register: Research Fit!H5</x:v>
      </x:c>
      <x:c r="C149" s="337" t="str">
        <x:v>NOT CHECKED THIS PASS</x:v>
      </x:c>
      <x:c r="D149" s="337" t="str"/>
      <x:c r="E149" s="337" t="str">
        <x:v>Retained from source workbook. No current page/file test completed; prior claims are not upgraded.</x:v>
      </x:c>
      <x:c r="F149" s="337" t="str">
        <x:v>No numerical observation file imported in this pass.</x:v>
      </x:c>
    </x:row>
    <x:row r="150" ht="88" customHeight="1">
      <x:c r="A150" s="338" t="str">
        <x:v>https://www.sansa.org.za/products-and-services/space-science/</x:v>
      </x:c>
      <x:c r="B150" s="338" t="str">
        <x:v>Data register: POC Register!K10; Data register: Source Directory!G14; Citation register: Intl Data Requests!J14</x:v>
      </x:c>
      <x:c r="C150" s="338" t="str">
        <x:v>PAGE / DOCUMENT VERIFIED</x:v>
      </x:c>
      <x:c r="D150" s="338" t="str">
        <x:v>2026-09-15</x:v>
      </x:c>
      <x:c r="E150" s="338" t="str">
        <x:v>Agency science page; Kate's separate reply limits direct network-data scope.</x:v>
      </x:c>
      <x:c r="F150" s="338" t="str">
        <x:v>No numerical observation file imported in this pass.</x:v>
      </x:c>
    </x:row>
    <x:row r="151" ht="88" customHeight="1">
      <x:c r="A151" s="337" t="str">
        <x:v>https://www.sciesmex.unam.mx/contacto/</x:v>
      </x:c>
      <x:c r="B151" s="337" t="str">
        <x:v>Data register: Remote Sources 15 Sep!B15</x:v>
      </x:c>
      <x:c r="C151" s="337" t="str">
        <x:v>NOT CHECKED THIS PASS</x:v>
      </x:c>
      <x:c r="D151" s="337" t="str"/>
      <x:c r="E151" s="337" t="str">
        <x:v>Retained from source workbook. No current page/file test completed; prior claims are not upgraded.</x:v>
      </x:c>
      <x:c r="F151" s="337" t="str">
        <x:v>No numerical observation file imported in this pass.</x:v>
      </x:c>
    </x:row>
    <x:row r="152" ht="88" customHeight="1">
      <x:c r="A152" s="338" t="str">
        <x:v>https://www.sciesmex.unam.mx/datos/</x:v>
      </x:c>
      <x:c r="B152" s="338" t="str">
        <x:v>Data register: Remote Sources 15 Sep!B14</x:v>
      </x:c>
      <x:c r="C152" s="338" t="str">
        <x:v>NOT CHECKED THIS PASS</x:v>
      </x:c>
      <x:c r="D152" s="338" t="str"/>
      <x:c r="E152" s="338" t="str">
        <x:v>Retained from source workbook. No current page/file test completed; prior claims are not upgraded.</x:v>
      </x:c>
      <x:c r="F152" s="338" t="str">
        <x:v>No numerical observation file imported in this pass.</x:v>
      </x:c>
    </x:row>
    <x:row r="153" ht="88" customHeight="1">
      <x:c r="A153" s="337" t="str">
        <x:v>https://www.sda.mil/department-of-defense-releases-defense-space-strategy/</x:v>
      </x:c>
      <x:c r="B153" s="337" t="str">
        <x:v>Data register: Reference Intake 14 Sep!B33; Citation register: Screenshot References!G10</x:v>
      </x:c>
      <x:c r="C153" s="337" t="str">
        <x:v>NOT CHECKED THIS PASS</x:v>
      </x:c>
      <x:c r="D153" s="337" t="str"/>
      <x:c r="E153" s="337" t="str">
        <x:v>Retained from source workbook. No current page/file test completed; prior claims are not upgraded.</x:v>
      </x:c>
      <x:c r="F153" s="337" t="str">
        <x:v>No numerical observation file imported in this pass.</x:v>
      </x:c>
    </x:row>
    <x:row r="154" ht="88" customHeight="1">
      <x:c r="A154" s="338" t="str">
        <x:v>https://www.spaceweather.gov/news/swpc-legacy-website-removal-5-september-2018</x:v>
      </x:c>
      <x:c r="B154" s="338" t="str">
        <x:v>Data register: Domestic Contacts!B39; Data register: Source Directory!G41</x:v>
      </x:c>
      <x:c r="C154" s="338" t="str">
        <x:v>PAGE / DOCUMENT VERIFIED</x:v>
      </x:c>
      <x:c r="D154" s="338" t="str">
        <x:v>2026-09-15</x:v>
      </x:c>
      <x:c r="E154" s="338" t="str">
        <x:v>Old contact notice works; not dataset locator.</x:v>
      </x:c>
      <x:c r="F154" s="338" t="str">
        <x:v>No numerical observation file imported in this pass.</x:v>
      </x:c>
    </x:row>
    <x:row r="155" ht="88" customHeight="1">
      <x:c r="A155" s="337" t="str">
        <x:v>https://www.spaceweather.gov/products/planetary-k-index</x:v>
      </x:c>
      <x:c r="B155" s="337" t="str">
        <x:v>Citation register: Research Artifacts!E10</x:v>
      </x:c>
      <x:c r="C155" s="337" t="str">
        <x:v>NOT CHECKED THIS PASS</x:v>
      </x:c>
      <x:c r="D155" s="337" t="str"/>
      <x:c r="E155" s="337" t="str">
        <x:v>Retained from source workbook. No current page/file test completed; prior claims are not upgraded.</x:v>
      </x:c>
      <x:c r="F155" s="337" t="str">
        <x:v>No numerical observation file imported in this pass.</x:v>
      </x:c>
    </x:row>
    <x:row r="156" ht="88" customHeight="1">
      <x:c r="A156" s="338" t="str">
        <x:v>https://www.sws.bom.gov.au/Contact_Us</x:v>
      </x:c>
      <x:c r="B156" s="338" t="str">
        <x:v>Data register: POC Register!K8; Data register: Source Directory!G12; Citation register: Intl Data Requests!J12</x:v>
      </x:c>
      <x:c r="C156" s="338" t="str">
        <x:v>PAGE / DOCUMENT VERIFIED</x:v>
      </x:c>
      <x:c r="D156" s="338" t="str">
        <x:v>2026-09-15</x:v>
      </x:c>
      <x:c r="E156" s="338" t="str">
        <x:v>Contact information only.</x:v>
      </x:c>
      <x:c r="F156" s="338" t="str">
        <x:v>No numerical observation file imported in this pass.</x:v>
      </x:c>
    </x:row>
    <x:row r="157" ht="88" customHeight="1">
      <x:c r="A157" s="337" t="str">
        <x:v>https://www.sws.bom.gov.au/Products_and_Services/4/1</x:v>
      </x:c>
      <x:c r="B157" s="337" t="str">
        <x:v>Data register: Australia Sources!H13</x:v>
      </x:c>
      <x:c r="C157" s="337" t="str">
        <x:v>NOT CHECKED THIS PASS</x:v>
      </x:c>
      <x:c r="D157" s="337" t="str"/>
      <x:c r="E157" s="337" t="str">
        <x:v>Retained from source workbook. No current page/file test completed; prior claims are not upgraded.</x:v>
      </x:c>
      <x:c r="F157" s="337" t="str">
        <x:v>No numerical observation file imported in this pass.</x:v>
      </x:c>
    </x:row>
    <x:row r="158" ht="88" customHeight="1">
      <x:c r="A158" s="338" t="str">
        <x:v>https://www.sws.bom.gov.au/World_Data_Centre/1/3</x:v>
      </x:c>
      <x:c r="B158" s="338" t="str">
        <x:v>Data register: Research Fit!H8; Data register: Australia Sources!H8; Data register: Remote Sources 15 Sep!B137; Data register: Remote Sources 15 Sep!B157; Data register: Source Directory!G37</x:v>
      </x:c>
      <x:c r="C158" s="338" t="str">
        <x:v>PAGE / DOCUMENT VERIFIED</x:v>
      </x:c>
      <x:c r="D158" s="338" t="str">
        <x:v>2026-09-15</x:v>
      </x:c>
      <x:c r="E158" s="338" t="str">
        <x:v>Ionospheric data selection form; numerical extraction not executed.</x:v>
      </x:c>
      <x:c r="F158" s="338" t="str">
        <x:v>No numerical observation file imported in this pass.</x:v>
      </x:c>
    </x:row>
    <x:row r="159" ht="88" customHeight="1">
      <x:c r="A159" s="337" t="str">
        <x:v>https://www.sws.bom.gov.au/World_Data_Centre/2/2</x:v>
      </x:c>
      <x:c r="B159" s="337" t="str">
        <x:v>Data register: Access and Sampling!B37; Data register: Source Directory!G51</x:v>
      </x:c>
      <x:c r="C159" s="337" t="str">
        <x:v>PAGE / DOCUMENT VERIFIED</x:v>
      </x:c>
      <x:c r="D159" s="337" t="str">
        <x:v>2026-09-15</x:v>
      </x:c>
      <x:c r="E159" s="337" t="str">
        <x:v>Ionosonde catalogue, HTTPS data links/formats; no raw sample inspected.</x:v>
      </x:c>
      <x:c r="F159" s="337" t="str">
        <x:v>No numerical observation file imported in this pass.</x:v>
      </x:c>
    </x:row>
    <x:row r="160" ht="88" customHeight="1">
      <x:c r="A160" s="338" t="str">
        <x:v>https://www.sws.bom.gov.au/World_Data_Centre/2/8/2</x:v>
      </x:c>
      <x:c r="B160" s="338" t="str">
        <x:v>Data register: Remote Sources 15 Sep!B136; Data register: Source Directory!G35</x:v>
      </x:c>
      <x:c r="C160" s="338" t="str">
        <x:v>PAGE / DOCUMENT VERIFIED</x:v>
      </x:c>
      <x:c r="D160" s="338" t="str">
        <x:v>2026-09-15</x:v>
      </x:c>
      <x:c r="E160" s="338" t="str">
        <x:v>Historical station/median-format list. Monthly medians do not describe individual outages.</x:v>
      </x:c>
      <x:c r="F160" s="338" t="str">
        <x:v>No numerical observation file imported in this pass.</x:v>
      </x:c>
    </x:row>
    <x:row r="161" ht="88" customHeight="1">
      <x:c r="A161" s="337" t="str">
        <x:v>https://www.telematica.polito.it/member/martino-trevisan/</x:v>
      </x:c>
      <x:c r="B161" s="337" t="str">
        <x:v>Data register: Expansion 14 Sep!B46</x:v>
      </x:c>
      <x:c r="C161" s="337" t="str">
        <x:v>NOT CHECKED THIS PASS</x:v>
      </x:c>
      <x:c r="D161" s="337" t="str"/>
      <x:c r="E161" s="337" t="str">
        <x:v>Retained from source workbook. No current page/file test completed; prior claims are not upgraded.</x:v>
      </x:c>
      <x:c r="F161" s="337" t="str">
        <x:v>No numerical observation file imported in this pass.</x:v>
      </x:c>
    </x:row>
    <x:row r="162" ht="88" customHeight="1">
      <x:c r="A162" s="338" t="str">
        <x:v>https://www.unavco.org/data/doi/10.7283/T5GH9GRD</x:v>
      </x:c>
      <x:c r="B162" s="338" t="str">
        <x:v>Data register: Access and Sampling!B65; Data register: Source Directory!G55</x:v>
      </x:c>
      <x:c r="C162" s="338" t="str">
        <x:v>PAGE / DOCUMENT VERIFIED</x:v>
      </x:c>
      <x:c r="D162" s="338" t="str">
        <x:v>2026-09-15</x:v>
      </x:c>
      <x:c r="E162" s="338" t="str">
        <x:v>Bangladesh ICPS GNSS dataset metadata/DOI; downstream files not fetched.</x:v>
      </x:c>
      <x:c r="F162" s="338" t="str">
        <x:v>No numerical observation file imported in this pass.</x:v>
      </x:c>
    </x:row>
    <x:row r="163" ht="88" customHeight="1">
      <x:c r="A163" s="337" t="str">
        <x:v>https://www.uni-osnabrueck.de/fb6/informatik/sys/team/laniewski</x:v>
      </x:c>
      <x:c r="B163" s="337" t="str">
        <x:v>Data register: POC Register!L4; Data register: Research Fit!H4</x:v>
      </x:c>
      <x:c r="C163" s="337" t="str">
        <x:v>NOT CHECKED THIS PASS</x:v>
      </x:c>
      <x:c r="D163" s="337" t="str"/>
      <x:c r="E163" s="337" t="str">
        <x:v>Retained from source workbook. No current page/file test completed; prior claims are not upgraded.</x:v>
      </x:c>
      <x:c r="F163" s="337" t="str">
        <x:v>No numerical observation file imported in this pass.</x:v>
      </x:c>
    </x:row>
    <x:row r="164" ht="88" customHeight="1">
      <x:c r="A164" s="338" t="str">
        <x:v>https://www.usap.gov/technology/1974/</x:v>
      </x:c>
      <x:c r="B164" s="338" t="str">
        <x:v>Data register: Remote Sources 15 Sep!B35</x:v>
      </x:c>
      <x:c r="C164" s="338" t="str">
        <x:v>NOT CHECKED THIS PASS</x:v>
      </x:c>
      <x:c r="D164" s="338" t="str"/>
      <x:c r="E164" s="338" t="str">
        <x:v>Retained from source workbook. No current page/file test completed; prior claims are not upgraded.</x:v>
      </x:c>
      <x:c r="F164" s="338" t="str">
        <x:v>No numerical observation file imported in this pass.</x:v>
      </x:c>
    </x:row>
    <x:row r="165" ht="88" customHeight="1">
      <x:c r="A165" s="337" t="str">
        <x:v>https://www.usap.gov/technology/sctnsouthpolesats.cfm</x:v>
      </x:c>
      <x:c r="B165" s="337" t="str">
        <x:v>Data register: Remote Sources 15 Sep!B34; Data register: Source Directory!G27</x:v>
      </x:c>
      <x:c r="C165" s="337" t="str">
        <x:v>PAGE / DOCUMENT VERIFIED</x:v>
      </x:c>
      <x:c r="D165" s="337" t="str">
        <x:v>2026-09-15</x:v>
      </x:c>
      <x:c r="E165" s="337" t="str">
        <x:v>Weekly satellite schedules; planned contacts are not measured availability.</x:v>
      </x:c>
      <x:c r="F165" s="337" t="str">
        <x:v>No numerical observation file imported in this pass.</x:v>
      </x:c>
    </x:row>
    <x:row r="166" ht="88" customHeight="1">
      <x:c r="A166" s="338" t="str">
        <x:v>https://www.ussf-cfc.spaceforce.mil/News/Article-Display/Article/2329221/space-force-releases-1st-doctrine-defines-spacepower-as-distinct-form-of-milita</x:v>
      </x:c>
      <x:c r="B166" s="338" t="str">
        <x:v>Data register: Reference Intake 14 Sep!B21; Citation register: Screenshot References!G8</x:v>
      </x:c>
      <x:c r="C166" s="338" t="str">
        <x:v>NOT CHECKED THIS PASS</x:v>
      </x:c>
      <x:c r="D166" s="338" t="str"/>
      <x:c r="E166" s="338" t="str">
        <x:v>Retained from source workbook. No current page/file test completed; prior claims are not upgraded.</x:v>
      </x:c>
      <x:c r="F166" s="338" t="str">
        <x:v>No numerical observation file imported in this pass.</x:v>
      </x:c>
    </x:row>
    <x:row r="167" ht="88" customHeight="1">
      <x:c r="A167" s="337" t="str">
        <x:v>https://zenodo.org/records/16275284</x:v>
      </x:c>
      <x:c r="B167" s="337" t="str">
        <x:v>Data register: Expansion 14 Sep!B23; Data register: Expansion Index!F6; Data register: Source Directory!G20</x:v>
      </x:c>
      <x:c r="C167" s="337" t="str">
        <x:v>FETCH / PARSE UNRESOLVED</x:v>
      </x:c>
      <x:c r="D167" s="337" t="str">
        <x:v>2026-09-15</x:v>
      </x:c>
      <x:c r="E167" s="337" t="str">
        <x:v>Browser fetch failed twice; do not conclude dataset removed.</x:v>
      </x:c>
      <x:c r="F167" s="337" t="str">
        <x:v>No numerical observation file imported in this pass.</x:v>
      </x:c>
    </x:row>
    <x:row r="168" ht="88" customHeight="1">
      <x:c r="A168" s="338" t="str">
        <x:v>https://zenodo.org/records/20796667</x:v>
      </x:c>
      <x:c r="B168" s="338" t="str">
        <x:v>Data register: Expansion 14 Sep!B34; Data register: Expansion Index!F7; Data register: Source Directory!G21</x:v>
      </x:c>
      <x:c r="C168" s="338" t="str">
        <x:v>PAGE / DOCUMENT VERIFIED</x:v>
      </x:c>
      <x:c r="D168" s="338" t="str">
        <x:v>2026-09-15</x:v>
      </x:c>
      <x:c r="E168" s="338" t="str">
        <x:v>File listing/schema details; 6.4 MB measurement ZIP; numerical bytes not inspected.</x:v>
      </x:c>
      <x:c r="F168" s="338" t="str">
        <x:v>No numerical observation file imported in this pass.</x:v>
      </x:c>
    </x:row>
    <x:row r="169" ht="88" customHeight="1">
      <x:c r="A169" s="337" t="str">
        <x:v>https://zenodo.org/records/20796667/files/7_days_Starlink_measurements_NexaSphere.zip?download=1</x:v>
      </x:c>
      <x:c r="B169" s="337" t="str">
        <x:v>15 Sep verification / supplemental product</x:v>
      </x:c>
      <x:c r="C169" s="337" t="str">
        <x:v>FETCH / PARSE UNRESOLVED</x:v>
      </x:c>
      <x:c r="D169" s="337" t="str">
        <x:v>2026-09-15</x:v>
      </x:c>
      <x:c r="E169" s="337" t="str">
        <x:v>Download attempt timed out; metadata/file listing works, bytes not obtained.</x:v>
      </x:c>
      <x:c r="F169" s="337" t="str">
        <x:v>No numerical observation file imported in this pass.</x:v>
      </x:c>
    </x:row>
    <x:row r="170" ht="88" customHeight="1">
      <x:c r="A170" s="338" t="str">
        <x:v>https://zenodo.org/records/8412734</x:v>
      </x:c>
      <x:c r="B170" s="338" t="str">
        <x:v>Data register: Access and Sampling!B100; Data register: Source Directory!G60</x:v>
      </x:c>
      <x:c r="C170" s="338" t="str">
        <x:v>FETCH / PARSE UNRESOLVED</x:v>
      </x:c>
      <x:c r="D170" s="338" t="str">
        <x:v>2026-09-15</x:v>
      </x:c>
      <x:c r="E170" s="338" t="str">
        <x:v>Browser fetch unresolved; keep prior repository lead pending recheck.</x:v>
      </x:c>
      <x:c r="F170" s="338" t="str">
        <x:v>No numerical observation file imported in this pass.</x:v>
      </x:c>
    </x:row>
    <x:row r="171">
      <x:c r="A171" s="93" t="str">
        <x:v>https://www.ncei.noaa.gov/products/space-weather/ionospheric-program/total-electron-content</x:v>
      </x:c>
      <x:c r="B171" s="93" t="str">
        <x:v>Josh Riley follow-up / NCEI</x:v>
      </x:c>
      <x:c r="C171" s="93" t="str">
        <x:v>PAGE / DOCUMENT VERIFIED</x:v>
      </x:c>
      <x:c r="D171" s="93" t="str">
        <x:v>2026-09-15</x:v>
      </x:c>
      <x:c r="E171" s="93" t="str">
        <x:v>US-TEC 2004–2023 and GloTEC Feb2025–present documented; download link is a JavaScript portal.</x:v>
      </x:c>
      <x:c r="F171" s="93" t="str">
        <x:v>No numerical observation file imported; dynamic portal still requires interactive/alternate retrieval.</x:v>
      </x:c>
    </x:row>
    <x:row r="172">
      <x:c r="A172" s="93" t="str">
        <x:v>https://www.ncei.noaa.gov/products/space-weather/legacy-data/mirrion-2-real-time-ionosonde</x:v>
      </x:c>
      <x:c r="B172" s="93" t="str">
        <x:v>Josh Riley follow-up / NCEI</x:v>
      </x:c>
      <x:c r="C172" s="93" t="str">
        <x:v>PAGE / DOCUMENT VERIFIED</x:v>
      </x:c>
      <x:c r="D172" s="93" t="str">
        <x:v>2026-09-15</x:v>
      </x:c>
      <x:c r="E172" s="93" t="str">
        <x:v>Main Mirrion 2 page documents public worldwide ionosonde soundings, MIDS and scaled characteristics. Some legacy child links returned 404/cache errors.</x:v>
      </x:c>
      <x:c r="F172" s="93" t="str">
        <x:v>No numeric station/day file imported.</x:v>
      </x:c>
    </x:row>
    <x:row r="173">
      <x:c r="A173" s="93" t="str">
        <x:v>https://www.ngdc.noaa.gov/stp/space-weather/swpc-products/daily_reports/space_weather_event_reports/</x:v>
      </x:c>
      <x:c r="B173" s="93" t="str">
        <x:v>Josh Riley follow-up / NCEI</x:v>
      </x:c>
      <x:c r="C173" s="93" t="str">
        <x:v>PAGE / DOCUMENT VERIFIED</x:v>
      </x:c>
      <x:c r="D173" s="93" t="str">
        <x:v>2026-09-15</x:v>
      </x:c>
      <x:c r="E173" s="93" t="str">
        <x:v>Direct directory lists annual archives 2011–2026 and 2026 monthly folders.</x:v>
      </x:c>
      <x:c r="F173" s="93" t="str">
        <x:v>No report body parsed; directory/file existence only.</x:v>
      </x:c>
    </x:row>
    <x:row r="174">
      <x:c r="A174" s="93" t="str">
        <x:v>https://www.spaceweather.gov/products/solar-and-geophysical-activity-summary</x:v>
      </x:c>
      <x:c r="B174" s="93" t="str">
        <x:v>Josh Riley follow-up / SWPC</x:v>
      </x:c>
      <x:c r="C174" s="93" t="str">
        <x:v>PAGE / DOCUMENT VERIFIED</x:v>
      </x:c>
      <x:c r="D174" s="93" t="str">
        <x:v>2026-09-15</x:v>
      </x:c>
      <x:c r="E174" s="93" t="str">
        <x:v>SGAS page states daily solar/geophysical event summary, joint NOAA/USAF product, historical text files available.</x:v>
      </x:c>
      <x:c r="F174" s="93" t="str">
        <x:v>No historical text file imported.</x:v>
      </x:c>
    </x:row>
    <x:row r="175">
      <x:c r="A175" s="93" t="str">
        <x:v>https://www.spaceweather.gov/</x:v>
      </x:c>
      <x:c r="B175" s="93" t="str">
        <x:v>Josh Riley follow-up / SWPC</x:v>
      </x:c>
      <x:c r="C175" s="93" t="str">
        <x:v>PAGE / DOCUMENT VERIFIED</x:v>
      </x:c>
      <x:c r="D175" s="93" t="str">
        <x:v>2026-09-15</x:v>
      </x:c>
      <x:c r="E175" s="93" t="str">
        <x:v>Current SWPC homepage reached; contextual portal, not a dataset by itself.</x:v>
      </x:c>
      <x:c r="F175" s="93" t="str">
        <x:v>No numerical observation file imported.</x:v>
      </x:c>
    </x:row>
    <x:row r="176">
      <x:c r="A176" s="93" t="str">
        <x:v>https://data.ngdc.noaa.gov/platforms/solar-space-observing-satellites/goes/goes18/l2/data/xrsf-l2-avg1m_science/</x:v>
      </x:c>
      <x:c r="B176" s="93" t="str">
        <x:v>Josh Riley follow-up / EXIS direct data</x:v>
      </x:c>
      <x:c r="C176" s="93" t="str">
        <x:v>PAGE / DOCUMENT VERIFIED</x:v>
      </x:c>
      <x:c r="D176" s="93" t="str">
        <x:v>2026-09-15</x:v>
      </x:c>
      <x:c r="E176" s="93" t="str">
        <x:v>Direct XRS 1-minute science-data directory lists annual NetCDF files; 2024 file listed at ~32 MB.</x:v>
      </x:c>
      <x:c r="F176" s="93" t="str">
        <x:v>Directory verified; NetCDF bytes/variables not yet parsed.</x:v>
      </x:c>
    </x:row>
    <x:row r="177">
      <x:c r="A177" t="str">
        <x:v>https://www.measurementlab.net/tests/ndt/</x:v>
      </x:c>
      <x:c r="B177" t="str">
        <x:v>Nathan / Measurement Lab substantive reply 22 Sep 2026</x:v>
      </x:c>
      <x:c r="C177" t="str">
        <x:v>PROVIDER-SUPPLIED / CONFIRMED ROUTE</x:v>
      </x:c>
      <x:c r="D177" t="str">
        <x:v>2026-09-22</x:v>
      </x:c>
      <x:c r="E177" t="str">
        <x:v>M-Lab identifies NDT as containing the requested performance information and preferred citation guidance; server/client ASN filters supported.</x:v>
      </x:c>
      <x:c r="F177" t="str">
        <x:v>No numerical BigQuery extract imported in this register update.</x:v>
      </x:c>
    </x:row>
    <x:row r="178">
      <x:c r="A178" t="str">
        <x:v>https://www.measurementlab.net/data/docs/bq/quickstart/</x:v>
      </x:c>
      <x:c r="B178" t="str">
        <x:v>Nathan / Measurement Lab substantive reply 22 Sep 2026</x:v>
      </x:c>
      <x:c r="C178" t="str">
        <x:v>PROVIDER-SUPPLIED / CONFIRMED ROUTE</x:v>
      </x:c>
      <x:c r="D178" t="str">
        <x:v>2026-09-22</x:v>
      </x:c>
      <x:c r="E178" t="str">
        <x:v>BigQuery quickstart supplied for accessing NDT data.</x:v>
      </x:c>
      <x:c r="F178" t="str">
        <x:v>Access documentation only; no query executed in this register update.</x:v>
      </x:c>
    </x:row>
  </x:sheetData>
  <x:mergeCells>
    <x:mergeCell ref="A1:F1"/>
    <x:mergeCell ref="A2:F2"/>
  </x:mergeCells>
  <x:conditionalFormatting sqref="C5:C170">
    <x:cfRule type="expression" dxfId="18" priority="1">
      <x:formula>$C5="PAGE / DOCUMENT VERIFIED"</x:formula>
    </x:cfRule>
    <x:cfRule type="expression" dxfId="19" priority="2">
      <x:formula>$C5="SHELL ONLY"</x:formula>
    </x:cfRule>
    <x:cfRule type="expression" dxfId="20" priority="3">
      <x:formula>$C5="FETCH / PARSE UNRESOLVED"</x:formula>
    </x:cfRule>
    <x:cfRule type="expression" dxfId="21" priority="4">
      <x:formula>$C5="RESTRICTED"</x:formula>
    </x:cfRule>
    <x:cfRule type="expression" dxfId="22" priority="5">
      <x:formula>$C5="NOT CHECKED THIS PASS"</x:formula>
    </x:cfRule>
  </x:conditionalFormatting>
  <x:pageMargins left="0.7" right="0.7" top="0.75" bottom="0.75" header="0.3" footer="0.3"/>
  <x:tableParts count="1">
    <x:tablePart xmlns:r="http://schemas.openxmlformats.org/officeDocument/2006/relationships" r:id="Rba15d1a58d92479d"/>
  </x:tableParts>
</x:worksheet>
</file>

<file path=xl/worksheets/sheet28.xml><?xml version="1.0" encoding="utf-8"?>
<x:worksheet xmlns:x="http://schemas.openxmlformats.org/spreadsheetml/2006/main">
  <x:sheetFormatPr defaultRowHeight="15"/>
  <x:cols>
    <x:col min="1" max="1" width="24" hidden="0" customWidth="1"/>
    <x:col min="2" max="2" width="30" hidden="0" customWidth="1"/>
    <x:col min="3" max="3" width="38" hidden="0" customWidth="1"/>
    <x:col min="4" max="4" width="42" hidden="0" customWidth="1"/>
    <x:col min="5" max="5" width="34" hidden="0" customWidth="1"/>
    <x:col min="6" max="6" width="59" hidden="0" customWidth="1"/>
    <x:col min="7" max="7" width="51" hidden="0" customWidth="1"/>
    <x:col min="8" max="8" width="50" hidden="0" customWidth="1"/>
  </x:cols>
  <x:sheetData>
    <x:row r="1" ht="30" customHeight="1">
      <x:c r="A1" s="329" t="str">
        <x:v>FIELD VERIFICATION | Which measurements are actually supported?</x:v>
      </x:c>
      <x:c r="B1" s="329"/>
      <x:c r="C1" s="329"/>
      <x:c r="D1" s="329"/>
      <x:c r="E1" s="329"/>
      <x:c r="F1" s="329"/>
      <x:c r="G1" s="329"/>
      <x:c r="H1" s="329"/>
    </x:row>
    <x:row r="2" ht="42" customHeight="1">
      <x:c r="A2" s="332" t="str">
        <x:v>Assessment distinguishes provider statements, inspected documentation, inference and missing evidence. No network outage or cognitive-workload improvement is inferred from environmental data.</x:v>
      </x:c>
      <x:c r="B2" s="332"/>
      <x:c r="C2" s="332"/>
      <x:c r="D2" s="332"/>
      <x:c r="E2" s="332"/>
      <x:c r="F2" s="332"/>
      <x:c r="G2" s="332"/>
      <x:c r="H2" s="332"/>
    </x:row>
    <x:row r="4" ht="30" customHeight="1">
      <x:c r="A4" s="334" t="str">
        <x:v>Source</x:v>
      </x:c>
      <x:c r="B4" s="334" t="str">
        <x:v>Latency</x:v>
      </x:c>
      <x:c r="C4" s="334" t="str">
        <x:v>Uptime / downtime</x:v>
      </x:c>
      <x:c r="D4" s="334" t="str">
        <x:v>Disruption / throughput / environment</x:v>
      </x:c>
      <x:c r="E4" s="334" t="str">
        <x:v>AI / ML layer</x:v>
      </x:c>
      <x:c r="F4" s="334" t="str">
        <x:v>Interpretation / quality rules</x:v>
      </x:c>
      <x:c r="G4" s="334" t="str">
        <x:v>Sampling action</x:v>
      </x:c>
      <x:c r="H4" s="334" t="str">
        <x:v>Evidence link</x:v>
      </x:c>
    </x:row>
    <x:row r="5" ht="114" customHeight="1">
      <x:c r="A5" s="337" t="str">
        <x:v>LENS</x:v>
      </x:c>
      <x:c r="B5" s="337" t="str">
        <x:v>RTT / one-way: documented</x:v>
      </x:c>
      <x:c r="C5" s="337" t="str">
        <x:v>Outage: derive only after interpreting loss/missing markers</x:v>
      </x:c>
      <x:c r="D5" s="337" t="str">
        <x:v>Packet loss documented; cadence/endpoints/clock errors matter</x:v>
      </x:c>
      <x:c r="E5" s="337" t="str">
        <x:v>No onboard AI execution logs supplied; server_processing_time is endpoint processing</x:v>
      </x:c>
      <x:c r="F5" s="337" t="str">
        <x:v>README raw JSON/text + processed CSV; legacy loss markers can equal zero; monthly/weekly portal paths vary.</x:v>
      </x:c>
      <x:c r="G5" s="337" t="str">
        <x:v>Repository reachable; new portal not reached; request small node/day subset.</x:v>
      </x:c>
      <x:c r="H5" s="337" t="str">
        <x:v>https://github.com/clarkzjw/LENS</x:v>
      </x:c>
    </x:row>
    <x:row r="6" ht="114" customHeight="1">
      <x:c r="A6" s="338" t="str">
        <x:v>WetLinks</x:v>
      </x:c>
      <x:c r="B6" s="338" t="str">
        <x:v>net_ping RTT: documented</x:v>
      </x:c>
      <x:c r="C6" s="338" t="str">
        <x:v>Interrupted/failed probes: inspect raw logs; no automatic uptime claim</x:v>
      </x:c>
      <x:c r="D6" s="338" t="str">
        <x:v>net_iperf throughput, loss and colocated weather documented</x:v>
      </x:c>
      <x:c r="E6" s="338" t="str">
        <x:v>No orbital AI task layer documented in this dataset</x:v>
      </x:c>
      <x:c r="F6" s="338" t="str">
        <x:v>Analysis CSV exists (Enschede 13.7 MB); raw files and descriptions preserve units; do not double-count measured network delay plus simulated queues.</x:v>
      </x:c>
      <x:c r="G6" s="338" t="str">
        <x:v>Raw fetch hit browser size limit; workstation CSV import pending.</x:v>
      </x:c>
      <x:c r="H6" s="338" t="str">
        <x:v>https://github.com/sys-uos/WetLinks/tree/main/Preprocessed_Data</x:v>
      </x:c>
    </x:row>
    <x:row r="7" ht="114" customHeight="1">
      <x:c r="A7" s="337" t="str">
        <x:v>Greece OTE</x:v>
      </x:c>
      <x:c r="B7" s="337" t="str">
        <x:v>RTT statistics: documented</x:v>
      </x:c>
      <x:c r="C7" s="337" t="str">
        <x:v>Provider reports 100% connectivity; continuous coverage must be audited</x:v>
      </x:c>
      <x:c r="D7" s="337" t="str">
        <x:v>60s latency cycles, 5min throughput, 1min dish metrics per metadata</x:v>
      </x:c>
      <x:c r="E7" s="337" t="str">
        <x:v>No onboard AI execution history confirmed</x:v>
      </x:c>
      <x:c r="F7" s="337" t="str">
        <x:v>8,857 latency cycles and1,772 throughput cycles; expected rows need explicit coverage reconciliation. Metadata and file listing verified, observations not parsed.</x:v>
      </x:c>
      <x:c r="G7" s="337" t="str">
        <x:v>6.4 MB ZIP download timed out here. Good small import candidate, not outage-rich until inspected.</x:v>
      </x:c>
      <x:c r="H7" s="337" t="str">
        <x:v>https://zenodo.org/records/20796667</x:v>
      </x:c>
    </x:row>
    <x:row r="8" ht="114" customHeight="1">
      <x:c r="A8" s="338" t="str">
        <x:v>Karlstad Sweden</x:v>
      </x:c>
      <x:c r="B8" s="338" t="str">
        <x:v>Precise one-way uplink/downlink dataset lead</x:v>
      </x:c>
      <x:c r="C8" s="338" t="str">
        <x:v>Do not equate missing sequence number to packet loss</x:v>
      </x:c>
      <x:c r="D8" s="338" t="str">
        <x:v>Known prior measurement note: timestamp-readout failure can create gaps</x:v>
      </x:c>
      <x:c r="E8" s="338" t="str">
        <x:v>No AI task layer established</x:v>
      </x:c>
      <x:c r="F8" s="338" t="str">
        <x:v>Retain prior April2025 metadata; current Zenodo recheck did not complete.</x:v>
      </x:c>
      <x:c r="G8" s="338" t="str">
        <x:v>Recheck access/download; no sample inspected.</x:v>
      </x:c>
      <x:c r="H8" s="338" t="str">
        <x:v>https://zenodo.org/records/16275284</x:v>
      </x:c>
    </x:row>
    <x:row r="9" ht="114" customHeight="1">
      <x:c r="A9" s="337" t="str">
        <x:v>NOAA GOES-R EXIS (XRS/EUVS + flare reports)</x:v>
      </x:c>
      <x:c r="B9" s="337" t="str">
        <x:v>NOT a communications-latency field</x:v>
      </x:c>
      <x:c r="C9" s="337" t="str">
        <x:v>Flare/event times are environmental timing, not downtime/restoration</x:v>
      </x:c>
      <x:c r="D9" s="337" t="str">
        <x:v>XRS/EUVS irradiance; flare class/times; quality metadata; satellite position</x:v>
      </x:c>
      <x:c r="E9" s="337" t="str">
        <x:v>No onboard scheduler/inference logs</x:v>
      </x:c>
      <x:c r="F9" s="337" t="str">
        <x:v>Josh recommends 1-minute XRS/EUVS averages. Official L2 NetCDF directories verified; 2024 GOES-18 annual XRS file is listed. Keep environmental event timing separate from network outcomes.</x:v>
      </x:c>
      <x:c r="G9" s="337" t="str">
        <x:v>Import one bounded XRS/EUVS interval; preserve UTC, units, satellite ID and flags. Pair later with direct network observations.</x:v>
      </x:c>
      <x:c r="H9" s="337" t="str">
        <x:v>https://www.ncei.noaa.gov/products/goes-r-extreme-ultraviolet-xray-irradiance</x:v>
      </x:c>
    </x:row>
    <x:row r="10" ht="114" customHeight="1">
      <x:c r="A10" s="338" t="str">
        <x:v>NOAA DMSP SSIES</x:v>
      </x:c>
      <x:c r="B10" s="338" t="str">
        <x:v>No direct network-latency records</x:v>
      </x:c>
      <x:c r="C10" s="338" t="str">
        <x:v>Archive gaps NOT uptime/downtime</x:v>
      </x:c>
      <x:c r="D10" s="338" t="str">
        <x:v>Electron/ion density/temperature, ion drift; confirm any scintillation field in actual file</x:v>
      </x:c>
      <x:c r="E10" s="338" t="str">
        <x:v>No onboard AI evidence</x:v>
      </x:c>
      <x:c r="F10" s="338" t="str">
        <x:v>June1987–May2024 with gaps per product page; scientific sensor time series. New NOAA DMSP distribution suspended in2025; do not expect weekly new records.</x:v>
      </x:c>
      <x:c r="G10" s="338" t="str">
        <x:v>Select daily satellite sample and file-format guide.</x:v>
      </x:c>
      <x:c r="H10" s="338" t="str">
        <x:v>https://www.ncei.noaa.gov/products/dmsp-ion-electron-scintillation</x:v>
      </x:c>
    </x:row>
    <x:row r="11" ht="114" customHeight="1">
      <x:c r="A11" s="337" t="str">
        <x:v>NOAA GOES MAG</x:v>
      </x:c>
      <x:c r="B11" s="337" t="str">
        <x:v>No direct network delay</x:v>
      </x:c>
      <x:c r="C11" s="337" t="str">
        <x:v>Storm/event context only; not measured outage</x:v>
      </x:c>
      <x:c r="D11" s="337" t="str">
        <x:v>Magnetic vectors, coordinate frames, 10Hz L1b and selected averages</x:v>
      </x:c>
      <x:c r="E11" s="337" t="str">
        <x:v>No task layer</x:v>
      </x:c>
      <x:c r="F11" s="337" t="str">
        <x:v>Use product-specific coordinate frame, averaging, epoch, quality flags.</x:v>
      </x:c>
      <x:c r="G11" s="337" t="str">
        <x:v>Metadata inspected; daily NetCDF uninspected.</x:v>
      </x:c>
      <x:c r="H11" s="337" t="str">
        <x:v>https://www.ncei.noaa.gov/products/goes-r-magnetometer</x:v>
      </x:c>
    </x:row>
    <x:row r="12" ht="114" customHeight="1">
      <x:c r="A12" s="338" t="str">
        <x:v>NOAA DSCOVR</x:v>
      </x:c>
      <x:c r="B12" s="338" t="str">
        <x:v>Raw telemetry names do not prove link-latency observability</x:v>
      </x:c>
      <x:c r="C12" s="338" t="str">
        <x:v>No generic uptime/recovery log confirmed</x:v>
      </x:c>
      <x:c r="D12" s="338" t="str">
        <x:v>Plasma speed/density/temperature and magnetic vectors; f1m/m1m products</x:v>
      </x:c>
      <x:c r="E12" s="338" t="str">
        <x:v>No task layer</x:v>
      </x:c>
      <x:c r="F12" s="338" t="str">
        <x:v>Inventory and current product may describe different resolution products. Verify actual coverage/end date; historical selection only for now.</x:v>
      </x:c>
      <x:c r="G12" s="338" t="str">
        <x:v>Select/inspect a historic numerical file before using as event input.</x:v>
      </x:c>
      <x:c r="H12" s="338" t="str">
        <x:v>https://www.ncei.noaa.gov/products/deep-space-climate-observatory-dscovr</x:v>
      </x:c>
    </x:row>
    <x:row r="13" ht="114" customHeight="1">
      <x:c r="A13" s="337" t="str">
        <x:v>NOAA anomalies</x:v>
      </x:c>
      <x:c r="B13" s="337" t="str">
        <x:v>Potential engineering event context—not measured RTT</x:v>
      </x:c>
      <x:c r="C13" s="337" t="str">
        <x:v>Sparse anomalies lack full time-at-risk and uptime denominator</x:v>
      </x:c>
      <x:c r="D13" s="337" t="str">
        <x:v>EXIS SpaceWire anomalies and other spreadsheets</x:v>
      </x:c>
      <x:c r="E13" s="337" t="str">
        <x:v>No AI scheduler outcomes confirmed</x:v>
      </x:c>
      <x:c r="F13" s="337" t="str">
        <x:v>Useful secondary fault corroboration; cannot derive service availability simply by counting anomalies.</x:v>
      </x:c>
      <x:c r="G13" s="337" t="str">
        <x:v>Inspect Excel field definitions, completeness and coverage first.</x:v>
      </x:c>
      <x:c r="H13" s="337" t="str">
        <x:v>https://www.ncei.noaa.gov/products/satellite-anomalies</x:v>
      </x:c>
    </x:row>
    <x:row r="14" ht="114" customHeight="1">
      <x:c r="A14" s="338" t="str">
        <x:v>NASA/JPL ASE</x:v>
      </x:c>
      <x:c r="B14" s="338" t="str">
        <x:v>Planning/processing timing: literature context, raw logs pending</x:v>
      </x:c>
      <x:c r="C14" s="338" t="str">
        <x:v>Historic EO-1 autonomous operation; not current feed</x:v>
      </x:c>
      <x:c r="D14" s="338" t="str">
        <x:v>Onboard science analysis, replanning, execution and prioritized downlink</x:v>
      </x:c>
      <x:c r="E14" s="338" t="str">
        <x:v>Actual historical onboard AI/planning system</x:v>
      </x:c>
      <x:c r="F14" s="338" t="str">
        <x:v>Published project evidence supports architecture. No raw task/inference/queue/ground-intervention sample obtained.</x:v>
      </x:c>
      <x:c r="G14" s="338" t="str">
        <x:v>Request public execution benchmark/logs; keep environmental and flight data separate.</x:v>
      </x:c>
      <x:c r="H14" s="338" t="str">
        <x:v>https://ai.jpl.nasa.gov/public/projects/ase/</x:v>
      </x:c>
    </x:row>
    <x:row r="15" ht="114" customHeight="1">
      <x:c r="A15" s="337" t="str">
        <x:v>UVic learning-based FEC / scheduling</x:v>
      </x:c>
      <x:c r="B15" s="337" t="str">
        <x:v>Reported performance in trace-driven emulation</x:v>
      </x:c>
      <x:c r="C15" s="337" t="str">
        <x:v>Recovery under modeled link effects, not blanket flight uptime</x:v>
      </x:c>
      <x:c r="D15" s="337" t="str">
        <x:v>AdaptiveFEC DRQN and FTRL-WRR learning scheduler papers</x:v>
      </x:c>
      <x:c r="E15" s="337" t="str">
        <x:v>Transport/network algorithms; NOT verified orbital deployment</x:v>
      </x:c>
      <x:c r="F15" s="337" t="str">
        <x:v>Use as methods/algorithm references until code and outputs are inspected; source traces may overlap LENS.</x:v>
      </x:c>
      <x:c r="G15" s="337" t="str">
        <x:v>Read papers and request available code/results without asking authors to collect new data.</x:v>
      </x:c>
      <x:c r="H15" s="337" t="str">
        <x:v>https://onlineacademiccommunity.uvic.ca/starlink/</x:v>
      </x:c>
    </x:row>
    <x:row r="16" ht="114" customHeight="1">
      <x:c r="A16" s="338" t="str">
        <x:v>Horizon</x:v>
      </x:c>
      <x:c r="B16" s="338" t="str">
        <x:v>Observed network performance inputs and predicted outcomes</x:v>
      </x:c>
      <x:c r="C16" s="338" t="str">
        <x:v>No-test intervals cannot be treated as downtime</x:v>
      </x:c>
      <x:c r="D16" s="338" t="str">
        <x:v>M-Lab/Cloudflare and weather/orbit features</x:v>
      </x:c>
      <x:c r="E16" s="338" t="str">
        <x:v>Ground/cloud performance predictor; NOT onboard orchestration</x:v>
      </x:c>
      <x:c r="F16" s="338" t="str">
        <x:v>Public repository/data DOI; distinguish observations from model predictions and overlapping original datasets.</x:v>
      </x:c>
      <x:c r="G16" s="338" t="str">
        <x:v>Query/sample one country/ASN/time interval; do not double-count underlying M-Lab records.</x:v>
      </x:c>
      <x:c r="H16" s="338" t="str">
        <x:v>https://github.com/SPEAR-Research-Lab/Horizon-Predicting-Starlink-Performance</x:v>
      </x:c>
    </x:row>
    <x:row r="17" ht="114" customHeight="1">
      <x:c r="A17" s="337" t="str">
        <x:v>Remote GNSS: Sri Lanka / islands / Bangladesh</x:v>
      </x:c>
      <x:c r="B17" s="337" t="str">
        <x:v>NOT communications-latency traces</x:v>
      </x:c>
      <x:c r="C17" s="337" t="str">
        <x:v>Station/logging/connectivity incidents are not end-to-end satellite service uptime</x:v>
      </x:c>
      <x:c r="D17" s="337" t="str">
        <x:v>RINEX observations and derived TEC; site metadata</x:v>
      </x:c>
      <x:c r="E17" s="337" t="str">
        <x:v>No AI execution layer</x:v>
      </x:c>
      <x:c r="F17" s="337" t="str">
        <x:v>Station metadata accessible; host centers may require accounts. Include Indian Ocean, Ascension, Colombo and Bangladesh without changing data role.</x:v>
      </x:c>
      <x:c r="G17" s="337" t="str">
        <x:v>Download one RINEX day, document TEC derivation, align site/weather/network times only where justified.</x:v>
      </x:c>
      <x:c r="H17" s="337" t="str">
        <x:v>https://network.igs.org/SGOC00LKA
https://network.igs.org/XMIS00AUS
https://network.igs.org/ASCG00SHN</x:v>
      </x:c>
    </x:row>
    <x:row r="18">
      <x:c r="A18" s="93" t="str">
        <x:v>NOAA GloTEC / US-TEC</x:v>
      </x:c>
      <x:c r="B18" s="93" t="str">
        <x:v>No direct network RTT</x:v>
      </x:c>
      <x:c r="C18" s="93" t="str">
        <x:v>Not service uptime/downtime</x:v>
      </x:c>
      <x:c r="D18" s="93" t="str">
        <x:v>Vertical/slant TEC / electron-density state; GloTEC uses GNSS + COSMIC-2 inputs</x:v>
      </x:c>
      <x:c r="E18" s="93" t="str">
        <x:v>No AI task layer</x:v>
      </x:c>
      <x:c r="F18" s="93" t="str">
        <x:v>US-TEC 2004–2023; GloTEC Feb2025–present. Dynamic download portal reached; no numeric file parsed. TEC is environmental state, not proof of a link outage.</x:v>
      </x:c>
      <x:c r="G18" s="93" t="str">
        <x:v>Acquire one timestamped GloTEC file for a disturbed interval and document grid, cadence, quality and missingness.</x:v>
      </x:c>
      <x:c r="H18" s="93" t="str">
        <x:v>https://www.ncei.noaa.gov/products/space-weather/ionospheric-program/total-electron-content</x:v>
      </x:c>
    </x:row>
    <x:row r="19">
      <x:c r="A19" s="93" t="str">
        <x:v>NOAA Mirrion 2 ionosonde</x:v>
      </x:c>
      <x:c r="B19" s="93" t="str">
        <x:v>Page exposes processing/data receipt latency only — NOT link RTT</x:v>
      </x:c>
      <x:c r="C19" s="93" t="str">
        <x:v>Station/file gaps are not network outage</x:v>
      </x:c>
      <x:c r="D19" s="93" t="str">
        <x:v>Ionograms; foF2/hmF2/foEs; worldwide station soundings</x:v>
      </x:c>
      <x:c r="E19" s="93" t="str">
        <x:v>No AI task layer</x:v>
      </x:c>
      <x:c r="F19" s="93" t="str">
        <x:v>Main landing page works; some legacy child URLs returned 404/cache errors. 'Latency Monitor' is data-pipeline timeliness, not satellite communications latency.</x:v>
      </x:c>
      <x:c r="G19" s="93" t="str">
        <x:v>Resolve one current station/day numeric path before use; preserve station/time/quality metadata.</x:v>
      </x:c>
      <x:c r="H19" s="93" t="str">
        <x:v>https://www.ncei.noaa.gov/products/space-weather/legacy-data/mirrion-2-real-time-ionosonde</x:v>
      </x:c>
    </x:row>
    <x:row r="20">
      <x:c r="A20" s="93" t="str">
        <x:v>NOAA Space Weather Event Reports</x:v>
      </x:c>
      <x:c r="B20" s="93" t="str">
        <x:v>No communications RTT</x:v>
      </x:c>
      <x:c r="C20" s="93" t="str">
        <x:v>Event start/end not service outage/recovery</x:v>
      </x:c>
      <x:c r="D20" s="93" t="str">
        <x:v>Timestamped solar/geophysical event reports; yearly/monthly archive</x:v>
      </x:c>
      <x:c r="E20" s="93" t="str">
        <x:v>No AI task layer</x:v>
      </x:c>
      <x:c r="F20" s="93" t="str">
        <x:v>Archive index verified from 2011 through 2026. Useful for event-window selection and corroboration only.</x:v>
      </x:c>
      <x:c r="G20" s="93" t="str">
        <x:v>Parse one selected-day text report and align event times to independent network traces.</x:v>
      </x:c>
      <x:c r="H20" s="93" t="str">
        <x:v>https://www.ngdc.noaa.gov/stp/space-weather/swpc-products/daily_reports/space_weather_event_reports/</x:v>
      </x:c>
    </x:row>
    <x:row r="21">
      <x:c r="A21" s="93" t="str">
        <x:v>NOAA SWPC SGAS</x:v>
      </x:c>
      <x:c r="B21" s="93" t="str">
        <x:v>No communications RTT</x:v>
      </x:c>
      <x:c r="C21" s="93" t="str">
        <x:v>Not a service-availability log</x:v>
      </x:c>
      <x:c r="D21" s="93" t="str">
        <x:v>Daily solar/geophysical events and indices; flares, proton events, geomagnetic activity</x:v>
      </x:c>
      <x:c r="E21" s="93" t="str">
        <x:v>No AI task layer</x:v>
      </x:c>
      <x:c r="F21" s="93" t="str">
        <x:v>Current page works and states current/previous SGAS text files are available. Issued daily for prior UTC day. Environmental corroboration only.</x:v>
      </x:c>
      <x:c r="G21" s="93" t="str">
        <x:v>Retrieve historical text for the same interval selected for network + EXIS/GloTEC comparison.</x:v>
      </x:c>
      <x:c r="H21" s="93" t="str">
        <x:v>https://www.spaceweather.gov/products/solar-and-geophysical-activity-summary</x:v>
      </x:c>
    </x:row>
    <x:row r="22">
      <x:c r="A22" t="str">
        <x:v>Measurement Lab NDT / BigQuery</x:v>
      </x:c>
      <x:c r="B22" t="str">
        <x:v>Direct measured Internet performance; provider says requested information is in NDT</x:v>
      </x:c>
      <x:c r="C22" t="str">
        <x:v>No direct outage labels; absence of tests cannot establish downtime</x:v>
      </x:c>
      <x:c r="D22" t="str">
        <x:v>NDT records with client/server ASN filtering; BigQuery retrieval</x:v>
      </x:c>
      <x:c r="E22" t="str">
        <x:v>No onboard AI layer</x:v>
      </x:c>
      <x:c r="F22" t="str">
        <x:v>Provider-confirmed scalable network source. Use ASN/time filters; keep measured values separate from any inferred outage state.</x:v>
      </x:c>
      <x:c r="G22" t="str">
        <x:v>Query Starlink AS14593 for a bounded interval; inspect fields, units, sampling bias and citation guidance; freeze one reproducible extract.</x:v>
      </x:c>
      <x:c r="H22" t="str">
        <x:v>https://www.measurementlab.net/tests/ndt/</x:v>
      </x:c>
    </x:row>
    <x:row r="23">
      <x:c r="A23" t="str">
        <x:v>Argentina / Patagonia ground station — Costanzo</x:v>
      </x:c>
      <x:c r="B23" t="str">
        <x:v>No current measured latency dataset supplied</x:v>
      </x:c>
      <x:c r="C23" t="str">
        <x:v>No current uptime/downtime dataset supplied</x:v>
      </x:c>
      <x:c r="D23" t="str">
        <x:v>Historical VHF/UHF station operated &gt;3 years; future direct link measurements possible only through a new funded campaign</x:v>
      </x:c>
      <x:c r="E23" t="str">
        <x:v>No onboard AI/ML layer established</x:v>
      </x:c>
      <x:c r="F23" t="str">
        <x:v>Confirmed collaboration lead, not an empirical dataset. Do not infer current availability from historical station operation.</x:v>
      </x:c>
      <x:c r="G23" t="str">
        <x:v>Hold. If funding becomes realistic, define measurement fields/cadence and a public-release/citation plan before any campaign.</x:v>
      </x:c>
      <x:c r="H23"/>
    </x:row>
    <x:row r="24">
      <x:c r="A24" t="str">
        <x:v>ACCC Measuring Broadband Australia</x:v>
      </x:c>
      <x:c r="B24" t="str">
        <x:v>Published broadband latency/performance metrics; exact row-level timestamp fields pending sample inspection</x:v>
      </x:c>
      <x:c r="C24" t="str">
        <x:v>Published outage frequency/duration may support interruption characterization; missing observations must not be relabeled as outage</x:v>
      </x:c>
      <x:c r="D24" t="str">
        <x:v>Starlink/broadband download/upload throughput, packet loss and outage metrics are reported in MBA releases; exact downloadable schema pending inspection</x:v>
      </x:c>
      <x:c r="E24" t="str">
        <x:v>No onboard AI/ML layer</x:v>
      </x:c>
      <x:c r="F24" t="str">
        <x:v>Provider confirms public data route and research-use permission. Program ended Jun 2026; use as historical COMM/validation evidence. Preserve aggregation level and definitions.</x:v>
      </x:c>
      <x:c r="G24" t="str">
        <x:v>Download one Starlink-containing data.gov.au release; inspect fields, units, temporal resolution, outage/missing semantics, geography and attribution before DES adoption.</x:v>
      </x:c>
      <x:c r="H24" t="str">
        <x:v>https://data.gov.au/</x:v>
      </x:c>
    </x:row>
  </x:sheetData>
  <x:mergeCells>
    <x:mergeCell ref="A1:H1"/>
    <x:mergeCell ref="A2:H2"/>
  </x:mergeCells>
  <x:pageMargins left="0.7" right="0.7" top="0.75" bottom="0.75" header="0.3" footer="0.3"/>
  <x:tableParts count="1">
    <x:tablePart xmlns:r="http://schemas.openxmlformats.org/officeDocument/2006/relationships" r:id="Rcc84f1fb79524bf4"/>
  </x:tableParts>
</x:worksheet>
</file>

<file path=xl/worksheets/sheet29.xml><?xml version="1.0" encoding="utf-8"?>
<x:worksheet xmlns:x="http://schemas.openxmlformats.org/spreadsheetml/2006/main">
  <x:sheetFormatPr defaultRowHeight="15"/>
  <x:cols>
    <x:col min="1" max="1" width="37" hidden="0" customWidth="1"/>
    <x:col min="2" max="2" width="105" hidden="0" customWidth="1"/>
  </x:cols>
  <x:sheetData>
    <x:row r="1" ht="30" customHeight="1">
      <x:c r="A1" s="329" t="str">
        <x:v>USABILITY GUIDE | Evidence before adoption</x:v>
      </x:c>
      <x:c r="B1" s="329"/>
    </x:row>
    <x:row r="2" ht="42" customHeight="1">
      <x:c r="A2" s="332" t="str">
        <x:v>15 Sep 2026 · Separate relevance, access and readiness. Preserve the original 31-source literature scores and all earlier contact history.</x:v>
      </x:c>
      <x:c r="B2" s="332"/>
    </x:row>
    <x:row r="4" ht="30" customHeight="1">
      <x:c r="A4" s="334" t="str">
        <x:v>Control / measure</x:v>
      </x:c>
      <x:c r="B4" s="334" t="str">
        <x:v>Meaning / result</x:v>
      </x:c>
    </x:row>
    <x:row r="5" ht="43" customHeight="1">
      <x:c r="A5" s="337" t="str">
        <x:v>START HERE</x:v>
      </x:c>
      <x:c r="B5" s="337" t="str">
        <x:v>Use Data Triage to select a source; Field Verification shows supported measurements; Link Checks records exact URL test results.</x:v>
      </x:c>
    </x:row>
    <x:row r="6" ht="43" customHeight="1">
      <x:c r="A6" s="347" t="str">
        <x:v>A — Direct network | green</x:v>
      </x:c>
      <x:c r="B6" s="338" t="str">
        <x:v>Priority for latency, loss, throughput and conditional availability reconstruction. Green is a role label, not proof a sample is ready.</x:v>
      </x:c>
    </x:row>
    <x:row r="7" ht="43" customHeight="1">
      <x:c r="A7" s="348" t="str">
        <x:v>B — AI / task management | purple</x:v>
      </x:c>
      <x:c r="B7" s="337" t="str">
        <x:v>Onboard planning/analysis evidence and related learning-based algorithms. Flight deployment, emulation and prediction must be labeled separately.</x:v>
      </x:c>
    </x:row>
    <x:row r="8" ht="43" customHeight="1">
      <x:c r="A8" s="349" t="str">
        <x:v>C — Environmental support | blue</x:v>
      </x:c>
      <x:c r="B8" s="338" t="str">
        <x:v>Useful for event selection and environmental conditions. Not direct latency, downtime or proof a communications failure occurred.</x:v>
      </x:c>
    </x:row>
    <x:row r="9" ht="43" customHeight="1">
      <x:c r="A9" s="350" t="str">
        <x:v>D — Reference / referral | gray</x:v>
      </x:c>
      <x:c r="B9" s="337" t="str">
        <x:v>Architecture, methods, planned schedules, contact pages or an unconfirmed data custodian. Useful support, not numerical performance input.</x:v>
      </x:c>
    </x:row>
    <x:row r="10" ht="43" customHeight="1">
      <x:c r="A10" s="351" t="str">
        <x:v>HOLD — Restricted | red</x:v>
      </x:c>
      <x:c r="B10" s="338" t="str">
        <x:v>No import into public/non-CUI research without a clear public-release route. A website being reachable does not grant data rights.</x:v>
      </x:c>
    </x:row>
    <x:row r="11" ht="43" customHeight="1">
      <x:c r="A11" s="337" t="str">
        <x:v>Evidence 0 → 4</x:v>
      </x:c>
      <x:c r="B11" s="337" t="str">
        <x:v>0 unverified; 1 route/page only; 2 field/schema documentation checked; 3 actual numeric sample inspected; 4 validated/adopted for the study.</x:v>
      </x:c>
    </x:row>
    <x:row r="12" ht="43" customHeight="1">
      <x:c r="A12" s="338" t="str">
        <x:v>What was NOT done</x:v>
      </x:c>
      <x:c r="B12" s="338" t="str">
        <x:v>No complete numerical observation file was imported, parsed or validated in this pass. No experiments, hypothesis tests or cognitive-burden findings were produced.</x:v>
      </x:c>
    </x:row>
    <x:row r="13" ht="43" customHeight="1">
      <x:c r="A13" s="337" t="str">
        <x:v>Yellow means pending—not bad</x:v>
      </x:c>
      <x:c r="B13" s="337" t="str">
        <x:v>Missing file checks, limited browser extraction, registration or unresolved fields are normal screening work. This is unrelated to GW advisor grades.</x:v>
      </x:c>
    </x:row>
    <x:row r="14" ht="43" customHeight="1">
      <x:c r="A14" s="338" t="str">
        <x:v>Link judgment</x:v>
      </x:c>
      <x:c r="B14" s="338" t="str">
        <x:v>PAGE verified ≠ data acquired. SHELL only = dynamic page. FETCH/PARSE unresolved = tool cannot establish access. Do not call these dead links.</x:v>
      </x:c>
    </x:row>
    <x:row r="15" ht="43" customHeight="1">
      <x:c r="A15" s="337" t="str">
        <x:v>Source records / product cards</x:v>
      </x:c>
      <x:c r="B15" s="346" t="n">
        <x:v>67</x:v>
      </x:c>
    </x:row>
    <x:row r="16" ht="43" customHeight="1">
      <x:c r="A16" s="338" t="str">
        <x:v>A — Network candidates</x:v>
      </x:c>
      <x:c r="B16" s="346" t="n">
        <x:v>13</x:v>
      </x:c>
    </x:row>
    <x:row r="17" ht="43" customHeight="1">
      <x:c r="A17" s="337" t="str">
        <x:v>B — AI / task-management</x:v>
      </x:c>
      <x:c r="B17" s="346" t="n">
        <x:v>3</x:v>
      </x:c>
    </x:row>
    <x:row r="18" ht="43" customHeight="1">
      <x:c r="A18" s="338" t="str">
        <x:v>C — Environmental support</x:v>
      </x:c>
      <x:c r="B18" s="346" t="n">
        <x:v>40</x:v>
      </x:c>
    </x:row>
    <x:row r="19" ht="43" customHeight="1">
      <x:c r="A19" s="337" t="str">
        <x:v>D — Reference/referral</x:v>
      </x:c>
      <x:c r="B19" s="346" t="n">
        <x:v>10</x:v>
      </x:c>
    </x:row>
    <x:row r="20" ht="43" customHeight="1">
      <x:c r="A20" s="338" t="str">
        <x:v>HOLD — Restricted</x:v>
      </x:c>
      <x:c r="B20" s="346" t="n">
        <x:v>1</x:v>
      </x:c>
    </x:row>
    <x:row r="21" ht="43" customHeight="1">
      <x:c r="A21" s="337" t="str">
        <x:v>Numeric sample checked (stage3)</x:v>
      </x:c>
      <x:c r="B21" s="346" t="n">
        <x:v>0</x:v>
      </x:c>
    </x:row>
    <x:row r="22" ht="43" customHeight="1">
      <x:c r="A22" s="338" t="str">
        <x:v>All URLs inventoried</x:v>
      </x:c>
      <x:c r="B22" s="346" t="n">
        <x:v>172</x:v>
      </x:c>
    </x:row>
    <x:row r="23" ht="43" customHeight="1">
      <x:c r="A23" s="337" t="str">
        <x:v>Browser checks attempted</x:v>
      </x:c>
      <x:c r="B23" s="346" t="n">
        <x:v>86</x:v>
      </x:c>
    </x:row>
    <x:row r="24" ht="43" customHeight="1">
      <x:c r="A24" s="338" t="str">
        <x:v>URLs awaiting this-pass check</x:v>
      </x:c>
      <x:c r="B24" s="346" t="n">
        <x:v>86</x:v>
      </x:c>
    </x:row>
    <x:row r="25" ht="43" customHeight="1">
      <x:c r="A25" s="337" t="str">
        <x:v>Data/metadata pages reached</x:v>
      </x:c>
      <x:c r="B25" s="346" t="n">
        <x:v>68</x:v>
      </x:c>
    </x:row>
    <x:row r="26" ht="43" customHeight="1">
      <x:c r="A26" s="338" t="str">
        <x:v>Dynamic shells only</x:v>
      </x:c>
      <x:c r="B26" s="346" t="n">
        <x:v>7</x:v>
      </x:c>
    </x:row>
    <x:row r="27" ht="43" customHeight="1">
      <x:c r="A27" s="337" t="str">
        <x:v>Fetch/parse unresolved</x:v>
      </x:c>
      <x:c r="B27" s="346" t="n">
        <x:v>10</x:v>
      </x:c>
    </x:row>
    <x:row r="28" ht="43" customHeight="1">
      <x:c r="A28" s="338" t="str">
        <x:v>Restricted notice verified</x:v>
      </x:c>
      <x:c r="B28" s="346" t="n">
        <x:f>COUNTIF('Link Checks'!C5:C170,"RESTRICTED")</x:f>
        <x:v>1</x:v>
      </x:c>
    </x:row>
    <x:row r="29" ht="43" customHeight="1">
      <x:c r="A29" s="337" t="str">
        <x:v>NCEI provenance</x:v>
      </x:c>
      <x:c r="B29" s="337" t="str">
        <x:v>Josh's two 15 Sep replies are recorded from screenshots. NAC message 1a0a6ae18989d6e7 is the original request forwarded at 13:06:48 Pacific, not his reply. Second reply recommends EXIS XRS/EUVS 1-minute, GloTEC, ionosonde, Event Reports and SGAS.</x:v>
      </x:c>
    </x:row>
    <x:row r="30" ht="43" customHeight="1">
      <x:c r="A30" s="338" t="str">
        <x:v>NOAA maintenance</x:v>
      </x:c>
      <x:c r="B30" s="338" t="str">
        <x:v>16 Sep 02:00–12:00 Eastern = 15 Sep23:00–16 Sep09:00 Pacific. Treat this and migration warnings as access context, not permanent dataset loss.</x:v>
      </x:c>
    </x:row>
    <x:row r="31" ht="43" customHeight="1">
      <x:c r="A31" s="337" t="str">
        <x:v>Geographic coverage retained</x:v>
      </x:c>
      <x:c r="B31" s="337" t="str">
        <x:v>Mexico, Argentina, Brazil, Finland, Sri Lanka, India, Bangladesh, Antarctica/Syowa/Casey/Mawson/Davis/Troll, Tristan, Kiritimati, Australian Christmas Island, Ascension, Diego Garcia/Cocos/Port Blair and Svalbard remain indexed.</x:v>
      </x:c>
    </x:row>
    <x:row r="32" ht="43" customHeight="1">
      <x:c r="A32" s="338" t="str">
        <x:v>Geography is not data independence</x:v>
      </x:c>
      <x:c r="B32" s="338" t="str">
        <x:v>Kiritimati is not Australian Christmas Island. Remote probe countries need verified probe IDs. Reused LENS/RIPE/M-Lab records must not be counted as independent datasets.</x:v>
      </x:c>
    </x:row>
    <x:row r="33" ht="43" customHeight="1">
      <x:c r="A33" s="337" t="str">
        <x:v>Current first-wave counts</x:v>
      </x:c>
      <x:c r="B33" s="337" t="str">
        <x:v>Six mailed destinations; five substantive country replies; three public-link replies are a subset. NCEI is a domestic response, not another country reply.</x:v>
      </x:c>
    </x:row>
    <x:row r="34" ht="43" customHeight="1">
      <x:c r="A34" s="338" t="str">
        <x:v>Next gate</x:v>
      </x:c>
      <x:c r="B34" s="338" t="str">
        <x:v>Choose one direct network file and one NCEI environmental/event file. Save originals/checksums, parse UTC/fields/units/quality/gaps, then advance only those samples to stage 3.</x:v>
      </x:c>
    </x:row>
  </x:sheetData>
  <x:mergeCells>
    <x:mergeCell ref="A1:B1"/>
    <x:mergeCell ref="A2:B2"/>
  </x:mergeCells>
  <x:pageMargins left="0.7" right="0.7" top="0.75" bottom="0.75" header="0.3" footer="0.3"/>
  <x:tableParts count="1">
    <x:tablePart xmlns:r="http://schemas.openxmlformats.org/officeDocument/2006/relationships" r:id="Re8b0dde23b4842d0"/>
  </x:tableParts>
</x:worksheet>
</file>

<file path=xl/worksheets/sheet30.xml><?xml version="1.0" encoding="utf-8"?>
<x:worksheet xmlns:x="http://schemas.openxmlformats.org/spreadsheetml/2006/main">
  <x:sheetFormatPr defaultRowHeight="15"/>
  <x:cols>
    <x:col min="1" max="1" width="26" hidden="0" customWidth="1"/>
    <x:col min="2" max="2" width="72" hidden="0" customWidth="1"/>
  </x:cols>
  <x:sheetData>
    <x:row r="1">
      <x:c r="A1" s="371" t="str">
        <x:v>MEASUREMENT LAB (M-LAB) — SUBSTANTIVE RESPONSE</x:v>
      </x:c>
      <x:c r="B1" s="371"/>
    </x:row>
    <x:row r="2">
      <x:c r="A2" s="372" t="str">
        <x:v>Configuration date</x:v>
      </x:c>
      <x:c r="B2" s="93" t="str">
        <x:v>22 Sep 2026</x:v>
      </x:c>
    </x:row>
    <x:row r="3">
      <x:c r="A3" s="372" t="str">
        <x:v>Source ID</x:v>
      </x:c>
      <x:c r="B3" s="93" t="str">
        <x:v>NET-01</x:v>
      </x:c>
    </x:row>
    <x:row r="4">
      <x:c r="A4" s="372" t="str">
        <x:v>Organization</x:v>
      </x:c>
      <x:c r="B4" s="93" t="str">
        <x:v>Measurement Lab (M-Lab)</x:v>
      </x:c>
    </x:row>
    <x:row r="5">
      <x:c r="A5" s="372" t="str">
        <x:v>Responder</x:v>
      </x:c>
      <x:c r="B5" s="93" t="str">
        <x:v>Nathan — M-Lab support (surname/email not visible in supplied message)</x:v>
      </x:c>
    </x:row>
    <x:row r="6">
      <x:c r="A6" s="372" t="str">
        <x:v>Confirmed dataset</x:v>
      </x:c>
      <x:c r="B6" s="93" t="str">
        <x:v>NDT (Network Diagnostic Tool) data in BigQuery</x:v>
      </x:c>
    </x:row>
    <x:row r="7">
      <x:c r="A7" s="372" t="str">
        <x:v>Filtering confirmed</x:v>
      </x:c>
      <x:c r="B7" s="93" t="str">
        <x:v>Server and client ASNs are present; suitable for ASN-filtered queries such as Starlink AS14593</x:v>
      </x:c>
    </x:row>
    <x:row r="8">
      <x:c r="A8" s="372" t="str">
        <x:v>Access / citation</x:v>
      </x:c>
      <x:c r="B8" s="93" t="str">
        <x:v>https://www.measurementlab.net/tests/ndt/</x:v>
      </x:c>
    </x:row>
    <x:row r="9">
      <x:c r="A9" s="372" t="str">
        <x:v>BigQuery quickstart</x:v>
      </x:c>
      <x:c r="B9" s="93" t="str">
        <x:v>https://www.measurementlab.net/data/docs/bq/quickstart/</x:v>
      </x:c>
    </x:row>
    <x:row r="10">
      <x:c r="A10" s="372" t="str">
        <x:v>Outage finding</x:v>
      </x:c>
      <x:c r="B10" s="93" t="str">
        <x:v>No separate M-Lab dataset directly/easily identifies outages. Outage can only be inferred from the data.</x:v>
      </x:c>
    </x:row>
    <x:row r="11">
      <x:c r="A11" s="372" t="str">
        <x:v>Research boundary</x:v>
      </x:c>
      <x:c r="B11" s="93" t="str">
        <x:v>No-test / missing-test periods are not evidence of outage. Keep observed measurements separate from derived outage inference.</x:v>
      </x:c>
    </x:row>
    <x:row r="12">
      <x:c r="A12" s="372" t="str">
        <x:v>Readiness</x:v>
      </x:c>
      <x:c r="B12" s="93" t="str">
        <x:v>2 — Fields / docs checked; provider-confirmed. Not Readiness 3 until a numerical NDT/BigQuery sample is inspected.</x:v>
      </x:c>
    </x:row>
    <x:row r="13">
      <x:c r="A13" s="372" t="str">
        <x:v>Next action</x:v>
      </x:c>
      <x:c r="B13" s="93" t="str">
        <x:v>Query a bounded Starlink AS14593 sample in BigQuery; inspect fields/units/cadence/sample bias; freeze reproducible extract.</x:v>
      </x:c>
    </x:row>
    <x:row r="14">
      <x:c r="A14" s="372" t="str">
        <x:v>Why it matters</x:v>
      </x:c>
      <x:c r="B14" s="93" t="str">
        <x:v>Scalable COMM source for latency/throughput-style model inputs and cross-validation; not a direct outage-state source.</x:v>
      </x:c>
    </x:row>
  </x:sheetData>
  <x:mergeCells>
    <x:mergeCell ref="A1:B1"/>
  </x:mergeCells>
  <x:pageMargins left="0.7" right="0.7" top="0.75" bottom="0.75" header="0.3" footer="0.3"/>
</x:worksheet>
</file>

<file path=xl/worksheets/sheet31.xml><?xml version="1.0" encoding="utf-8"?>
<x:worksheet xmlns:x="http://schemas.openxmlformats.org/spreadsheetml/2006/main">
  <x:sheetFormatPr defaultRowHeight="15"/>
  <x:cols>
    <x:col min="1" max="1" width="28" hidden="0" customWidth="1"/>
    <x:col min="2" max="2" width="78" hidden="0" customWidth="1"/>
  </x:cols>
  <x:sheetData>
    <x:row r="1">
      <x:c r="A1" s="93" t="str">
        <x:v>ARGENTINA / PATAGONIA — COSTANZO RESPONSE • 22 SEP 2026</x:v>
      </x:c>
      <x:c r="B1" s="93"/>
    </x:row>
    <x:row r="2">
      <x:c r="A2" s="93" t="str">
        <x:v>POC</x:v>
      </x:c>
      <x:c r="B2" s="93" t="str">
        <x:v>Dr. Pablo Costanzo Caso • pcostanzo@ib.edu.ar</x:v>
      </x:c>
    </x:row>
    <x:row r="3">
      <x:c r="A3" s="93" t="str">
        <x:v>Institution / location</x:v>
      </x:c>
      <x:c r="B3" s="93" t="str">
        <x:v>Instituto Balseiro / CNEA • Bariloche / Patagonia, Argentina</x:v>
      </x:c>
    </x:row>
    <x:row r="4">
      <x:c r="A4" s="93" t="str">
        <x:v>Response status</x:v>
      </x:c>
      <x:c r="B4" s="93" t="str">
        <x:v>Substantive reply received 22 Sep 2026</x:v>
      </x:c>
    </x:row>
    <x:row r="5">
      <x:c r="A5" s="93" t="str">
        <x:v>Existing requested data</x:v>
      </x:c>
      <x:c r="B5" s="93" t="str">
        <x:v>NOT AVAILABLE</x:v>
      </x:c>
    </x:row>
    <x:row r="6">
      <x:c r="A6" s="93" t="str">
        <x:v>Historical capability</x:v>
      </x:c>
      <x:c r="B6" s="93" t="str">
        <x:v>VHF/UHF ground station developed and operated for more than 3 years</x:v>
      </x:c>
    </x:row>
    <x:row r="7">
      <x:c r="A7" s="93" t="str">
        <x:v>Current limitation</x:v>
      </x:c>
      <x:c r="B7" s="93" t="str">
        <x:v>Station dismantled because of lack of funding</x:v>
      </x:c>
    </x:row>
    <x:row r="8">
      <x:c r="A8" s="93" t="str">
        <x:v>Collaboration posture</x:v>
      </x:c>
      <x:c r="B8" s="93" t="str">
        <x:v>Interested in collaborating on a funded project and providing newly measured Patagonia data</x:v>
      </x:c>
    </x:row>
    <x:row r="9">
      <x:c r="A9" s="93" t="str">
        <x:v>Question from provider</x:v>
      </x:c>
      <x:c r="B9" s="93" t="str">
        <x:v>Which specific characteristics/variables should be observed in data measured from Argentina?</x:v>
      </x:c>
    </x:row>
    <x:row r="10">
      <x:c r="A10" s="93" t="str">
        <x:v>Register treatment</x:v>
      </x:c>
      <x:c r="B10" s="93" t="str">
        <x:v>GRAY collaboration/referral lead • Readiness 1 • no current empirical dataset</x:v>
      </x:c>
    </x:row>
    <x:row r="11">
      <x:c r="A11" s="93" t="str">
        <x:v>Research boundary</x:v>
      </x:c>
      <x:c r="B11" s="93" t="str">
        <x:v>Do not count historical operation as current data availability; no numerical sample, archive, or direct data-fit action exists yet.</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70" hidden="0" customWidth="1"/>
  </x:cols>
  <x:sheetData>
    <x:row r="1" ht="132" hidden="0" customHeight="1">
      <x:c r="A1" s="380" t="str">
        <x:v>AUSTRALIA — ACCC / MEASURING BROADBAND AUSTRALIA RESPONSE</x:v>
      </x:c>
      <x:c r="B1" s="380"/>
    </x:row>
    <x:row r="2" ht="26.399999618530273" hidden="0" customHeight="1">
      <x:c r="A2" s="93" t="str">
        <x:v>Configuration date</x:v>
      </x:c>
      <x:c r="B2" s="93" t="str">
        <x:v>23 Sep 2026</x:v>
      </x:c>
    </x:row>
    <x:row r="3" ht="26.399999618530273" hidden="0" customHeight="1">
      <x:c r="A3" s="93" t="str">
        <x:v>Source ID</x:v>
      </x:c>
      <x:c r="B3" s="93" t="str">
        <x:v>INT-AU-ACCC</x:v>
      </x:c>
    </x:row>
    <x:row r="4" ht="198" hidden="0" customHeight="1">
      <x:c r="A4" s="93" t="str">
        <x:v>Organization</x:v>
      </x:c>
      <x:c r="B4" s="93" t="str">
        <x:v>Australian Competition and Consumer Commission (ACCC) — Measuring Broadband Australia / Broadband Performance Team</x:v>
      </x:c>
    </x:row>
    <x:row r="5" ht="79.19999694824219" hidden="0" customHeight="1">
      <x:c r="A5" s="93" t="str">
        <x:v>Response status</x:v>
      </x:c>
      <x:c r="B5" s="93" t="str">
        <x:v>Substantive official reply received 23 Sep 2026</x:v>
      </x:c>
    </x:row>
    <x:row r="6" ht="105.5999984741211" hidden="0" customHeight="1">
      <x:c r="A6" s="93" t="str">
        <x:v>Public data route</x:v>
      </x:c>
      <x:c r="B6" s="93" t="str">
        <x:v>https://data.gov.au/ — search 'Measuring Broadband Australia'</x:v>
      </x:c>
    </x:row>
    <x:row r="7" ht="184.8000030517578" hidden="0" customHeight="1">
      <x:c r="A7" s="93" t="str">
        <x:v>What provider confirmed</x:v>
      </x:c>
      <x:c r="B7" s="93" t="str">
        <x:v>In addition to report aggregate tables, ACCC releases a more fulsome set of MBA data on data.gov.au.</x:v>
      </x:c>
    </x:row>
    <x:row r="8" ht="198" hidden="0" customHeight="1">
      <x:c r="A8" s="93" t="str">
        <x:v>Research-use terms</x:v>
      </x:c>
      <x:c r="B8" s="93" t="str">
        <x:v>No special conditions required for use of publicly available data; appropriately attribute MBA performance data where used.</x:v>
      </x:c>
    </x:row>
    <x:row r="9" ht="132" hidden="0" customHeight="1">
      <x:c r="A9" s="93" t="str">
        <x:v>Program status</x:v>
      </x:c>
      <x:c r="B9" s="93" t="str">
        <x:v>Measuring Broadband Australia concluded June 2026; historical/static source only.</x:v>
      </x:c>
    </x:row>
    <x:row r="10" ht="250.8000030517578" hidden="0" customHeight="1">
      <x:c r="A10" s="93" t="str">
        <x:v>Starlink relevance</x:v>
      </x:c>
      <x:c r="B10" s="93" t="str">
        <x:v>Published MBA releases include Starlink broadband-performance evidence; exact downloadable fields/granularity must be inspected before model adoption.</x:v>
      </x:c>
    </x:row>
    <x:row r="11" ht="145.1999969482422" hidden="0" customHeight="1">
      <x:c r="A11" s="93" t="str">
        <x:v>Readiness</x:v>
      </x:c>
      <x:c r="B11" s="93" t="str">
        <x:v>2 — provider-confirmed public access/use route; numerical Starlink release not yet inspected.</x:v>
      </x:c>
    </x:row>
    <x:row r="12" ht="382.79998779296875" hidden="0" customHeight="1">
      <x:c r="A12" s="93" t="str">
        <x:v>Next action</x:v>
      </x:c>
      <x:c r="B12" s="93" t="str">
        <x:v>Download one Starlink-containing MBA release from data.gov.au; inspect latency, upload/download throughput, packet loss, outage frequency/duration, time granularity, geography, missing/outage semantics and attribution.</x:v>
      </x:c>
    </x:row>
    <x:row r="13" ht="277.20001220703125" hidden="0" customHeight="1">
      <x:c r="A13" s="93" t="str">
        <x:v>Research boundary</x:v>
      </x:c>
      <x:c r="B13" s="93" t="str">
        <x:v>Public availability does not establish raw/minimally aggregated resolution. Missing records are not outages. Preserve the source's aggregation level and definitions.</x:v>
      </x:c>
    </x:row>
    <x:row r="14" ht="105.5999984741211" hidden="0" customHeight="1">
      <x:c r="A14" s="93" t="str">
        <x:v>Contact</x:v>
      </x:c>
      <x:c r="B14" s="93" t="str">
        <x:v>Broadband Performance Team • BroadbandPerformance@accc.gov.au</x:v>
      </x:c>
    </x:row>
    <x:row r="15">
      <x:c r="A15"/>
      <x:c r="B15"/>
    </x:row>
    <x:row r="16">
      <x:c r="A16"/>
      <x:c r="B16"/>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4" hidden="0" customWidth="1"/>
    <x:col min="2" max="2" width="68" hidden="0" customWidth="1"/>
  </x:cols>
  <x:sheetData>
    <x:row r="1">
      <x:c r="A1" s="386" t="str">
        <x:v>FINLAND / UNIVERSITY OF OULU — PROVIDER RESPONSE</x:v>
      </x:c>
      <x:c r="B1" s="93"/>
    </x:row>
    <x:row r="2">
      <x:c r="A2" s="387" t="str">
        <x:v>Configuration date</x:v>
      </x:c>
      <x:c r="B2" s="93" t="str">
        <x:v>23 September 2026</x:v>
      </x:c>
    </x:row>
    <x:row r="3">
      <x:c r="A3" s="387" t="str">
        <x:v>Research lead</x:v>
      </x:c>
      <x:c r="B3" s="93" t="str">
        <x:v>Finland — University of Oulu / VTT Starlink performance measurements</x:v>
      </x:c>
    </x:row>
    <x:row r="4">
      <x:c r="A4" s="387" t="str">
        <x:v>Respondent</x:v>
      </x:c>
      <x:c r="B4" s="93" t="str">
        <x:v>Harri Saarnisaari</x:v>
      </x:c>
    </x:row>
    <x:row r="5">
      <x:c r="A5" s="387" t="str">
        <x:v>Response</x:v>
      </x:c>
      <x:c r="B5" s="93" t="str">
        <x:v>Historical data are no longer available; the group did not save the dataset.</x:v>
      </x:c>
    </x:row>
    <x:row r="6">
      <x:c r="A6" s="387" t="str">
        <x:v>Data status</x:v>
      </x:c>
      <x:c r="B6" s="93" t="str">
        <x:v>NO DOWNLOADABLE / RETAINED DATA FROM THIS LEAD</x:v>
      </x:c>
    </x:row>
    <x:row r="7">
      <x:c r="A7" s="387" t="str">
        <x:v>Research interpretation</x:v>
      </x:c>
      <x:c r="B7" s="93" t="str">
        <x:v>Published results remain useful as literature/context, not as a numerical DES input.</x:v>
      </x:c>
    </x:row>
    <x:row r="8">
      <x:c r="A8" s="387" t="str">
        <x:v>Readiness</x:v>
      </x:c>
      <x:c r="B8" s="93" t="str">
        <x:v>1 — source/contact confirmed; no numerical sample available</x:v>
      </x:c>
    </x:row>
    <x:row r="9">
      <x:c r="A9" s="387" t="str">
        <x:v>Acquisition status</x:v>
      </x:c>
      <x:c r="B9" s="93" t="str">
        <x:v>CLOSED</x:v>
      </x:c>
    </x:row>
    <x:row r="10">
      <x:c r="A10" s="387" t="str">
        <x:v>Next action</x:v>
      </x:c>
      <x:c r="B10" s="93" t="str">
        <x:v>No further data request. Retain paper citation; only reopen if an independent archive is discovered.</x:v>
      </x:c>
    </x:row>
    <x:row r="11">
      <x:c r="A11" s="387" t="str">
        <x:v>Evidence date</x:v>
      </x:c>
      <x:c r="B11" s="93" t="str">
        <x:v>23 September 2026</x:v>
      </x:c>
    </x:row>
  </x:sheetData>
  <x:mergeCells>
    <x:mergeCell ref="A1:B1"/>
  </x:mergeCells>
  <x:pageMargins left="0.7" right="0.7" top="0.75" bottom="0.75" header="0.3" footer="0.3"/>
</x:worksheet>
</file>