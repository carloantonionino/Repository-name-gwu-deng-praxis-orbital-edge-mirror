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2cfacc8c2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2b4ad96638554a66"/>
    <x:sheet xmlns:r="http://schemas.openxmlformats.org/officeDocument/2006/relationships" name="Literature" sheetId="2" r:id="R1ac986054c1c46d4"/>
    <x:sheet xmlns:r="http://schemas.openxmlformats.org/officeDocument/2006/relationships" name="Data Overlap" sheetId="3" r:id="R8907e9e81d9a4dec"/>
    <x:sheet xmlns:r="http://schemas.openxmlformats.org/officeDocument/2006/relationships" name="Data Citations" sheetId="4" r:id="R9103acf7c7144759"/>
    <x:sheet xmlns:r="http://schemas.openxmlformats.org/officeDocument/2006/relationships" name="Chapter Map" sheetId="5" r:id="Red13daa19fe946bf"/>
    <x:sheet xmlns:r="http://schemas.openxmlformats.org/officeDocument/2006/relationships" name="Other Authorities" sheetId="6" r:id="R33b52a38e0af4ca9"/>
    <x:sheet xmlns:r="http://schemas.openxmlformats.org/officeDocument/2006/relationships" name="Legacy GWU" sheetId="7" r:id="Rdb0aaee8325542ab"/>
    <x:sheet xmlns:r="http://schemas.openxmlformats.org/officeDocument/2006/relationships" name="Evidence" sheetId="8" r:id="R2af6f383b9ea4cbe"/>
    <x:sheet xmlns:r="http://schemas.openxmlformats.org/officeDocument/2006/relationships" name="Change Log" sheetId="9" r:id="Rc6353bfbbf2244b2"/>
    <x:sheet xmlns:r="http://schemas.openxmlformats.org/officeDocument/2006/relationships" name="Ch2 Citation Reconciliation" sheetId="10" r:id="R3401500acf164cf0"/>
    <x:sheet xmlns:r="http://schemas.openxmlformats.org/officeDocument/2006/relationships" name="Reconciliation 26 Oct" sheetId="11" r:id="Rc9d5a7f4593c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000000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sz val="11"/>
      <x:name val="Calibri"/>
    </x:font>
    <x:font>
      <x:b/>
      <x:sz val="16"/>
      <x:color rgb="FFFFFFFF"/>
      <x:name val="Calibri"/>
    </x:font>
    <x:font>
      <x:sz val="11"/>
      <x:color rgb="FF324B5B"/>
      <x:name val="Calibri"/>
    </x:font>
    <x:font>
      <x:b/>
      <x:sz val="11"/>
      <x:color rgb="FFFFFFFF"/>
      <x:name val="Calibri"/>
    </x:font>
    <x:font>
      <x:b/>
      <x:sz val="18"/>
      <x:color rgb="FF145C48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0000"/>
      </x:patternFill>
    </x:fill>
    <x:fill>
      <x:patternFill patternType="solid">
        <x:fgColor rgb="FF142D42"/>
      </x:patternFill>
    </x:fill>
    <x:fill>
      <x:patternFill patternType="solid">
        <x:fgColor rgb="FFE7EEF3"/>
      </x:patternFill>
    </x:fill>
    <x:fill>
      <x:patternFill patternType="solid">
        <x:fgColor rgb="FFE7F2EE"/>
      </x:patternFill>
    </x:fill>
  </x:fills>
  <x:borders count="8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c58febde84f22" /><Relationship Type="http://schemas.openxmlformats.org/officeDocument/2006/relationships/theme" Target="/xl/theme/theme1.xml" Id="R0fcd9b9b031a477f" /><Relationship Type="http://schemas.openxmlformats.org/officeDocument/2006/relationships/sharedStrings" Target="/xl/sharedStrings.xml" Id="Ra8200bf894a84cc6" /><Relationship Type="http://schemas.openxmlformats.org/officeDocument/2006/relationships/worksheet" Target="/xl/worksheets/sheet1.xml" Id="R2b4ad96638554a66" /><Relationship Type="http://schemas.openxmlformats.org/officeDocument/2006/relationships/worksheet" Target="/xl/worksheets/sheet2.xml" Id="R1ac986054c1c46d4" /><Relationship Type="http://schemas.openxmlformats.org/officeDocument/2006/relationships/worksheet" Target="/xl/worksheets/sheet3.xml" Id="R8907e9e81d9a4dec" /><Relationship Type="http://schemas.openxmlformats.org/officeDocument/2006/relationships/worksheet" Target="/xl/worksheets/sheet4.xml" Id="R9103acf7c7144759" /><Relationship Type="http://schemas.openxmlformats.org/officeDocument/2006/relationships/worksheet" Target="/xl/worksheets/sheet5.xml" Id="Red13daa19fe946bf" /><Relationship Type="http://schemas.openxmlformats.org/officeDocument/2006/relationships/worksheet" Target="/xl/worksheets/sheet6.xml" Id="R33b52a38e0af4ca9" /><Relationship Type="http://schemas.openxmlformats.org/officeDocument/2006/relationships/worksheet" Target="/xl/worksheets/sheet7.xml" Id="Rdb0aaee8325542ab" /><Relationship Type="http://schemas.openxmlformats.org/officeDocument/2006/relationships/worksheet" Target="/xl/worksheets/sheet8.xml" Id="R2af6f383b9ea4cbe" /><Relationship Type="http://schemas.openxmlformats.org/officeDocument/2006/relationships/worksheet" Target="/xl/worksheets/sheet9.xml" Id="Rc6353bfbbf2244b2" /><Relationship Type="http://schemas.openxmlformats.org/officeDocument/2006/relationships/worksheet" Target="/xl/worksheets/sheet10.xml" Id="R3401500acf164cf0" /><Relationship Type="http://schemas.openxmlformats.org/officeDocument/2006/relationships/worksheet" Target="/xl/worksheets/sheet11.xml" Id="Rc9d5a7f4593c45c3" /></Relationships>
</file>

<file path=xl/tables/table1.xml><?xml version="1.0" encoding="utf-8"?>
<x:table xmlns:x="http://schemas.openxmlformats.org/spreadsheetml/2006/main" id="1" name="LiteratureRegister" displayName="LiteratureRegister" ref="A1:S74" headerRowCount="1" totalsRowCount="0" totalsRowShown="0">
  <x:tableColumns count="19">
    <x:tableColumn id="1" name="ID"/>
    <x:tableColumn id="2" name="Sections"/>
    <x:tableColumn id="3" name="Type"/>
    <x:tableColumn id="4" name="Authors"/>
    <x:tableColumn id="5" name="Year"/>
    <x:tableColumn id="6" name="Title"/>
    <x:tableColumn id="7" name="Venue"/>
    <x:tableColumn id="8" name="Volume / issue"/>
    <x:tableColumn id="9" name="Pages / article"/>
    <x:tableColumn id="10" name="DOI"/>
    <x:tableColumn id="11" name="Owner / institution"/>
    <x:tableColumn id="12" name="Country / location"/>
    <x:tableColumn id="13" name="Source URL"/>
    <x:tableColumn id="14" name="Full citation (working APA metadata)"/>
    <x:tableColumn id="15" name="Why relevant / use limit"/>
    <x:tableColumn id="16" name="Verification level"/>
    <x:tableColumn id="17" name="Adoption"/>
    <x:tableColumn id="18" name="Editor checks"/>
    <x:tableColumn id="19" name="Time-overlap applicabi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OverlapRegister" displayName="DataOverlapRegister" ref="A1:P22" headerRowCount="1" totalsRowCount="0" totalsRowShown="0">
  <x:tableColumns count="16">
    <x:tableColumn id="1" name="ID"/>
    <x:tableColumn id="2" name="ACE leg"/>
    <x:tableColumn id="3" name="Owner / custodian"/>
    <x:tableColumn id="4" name="Country / measurement location"/>
    <x:tableColumn id="5" name="Dataset / file / product"/>
    <x:tableColumn id="6" name="Meets overlap?"/>
    <x:tableColumn id="7" name="Cadence"/>
    <x:tableColumn id="8" name="Time / coverage tested"/>
    <x:tableColumn id="9" name="What was actually verified"/>
    <x:tableColumn id="10" name="Exact data / acquisition link"/>
    <x:tableColumn id="11" name="Model role"/>
    <x:tableColumn id="12" name="Limit / guardrail"/>
    <x:tableColumn id="13" name="Chapter sections"/>
    <x:tableColumn id="14" name="Companion papers"/>
    <x:tableColumn id="15" name="Next gate"/>
    <x:tableColumn id="16" name="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CitationRegister" displayName="DataCitationRegister" ref="A1:G22" headerRowCount="1" totalsRowCount="0" totalsRowShown="0">
  <x:tableColumns count="7">
    <x:tableColumn id="1" name="ID"/>
    <x:tableColumn id="2" name="Owner"/>
    <x:tableColumn id="3" name="Product"/>
    <x:tableColumn id="4" name="Working citation / bibliographic locator"/>
    <x:tableColumn id="5" name="Exact data link"/>
    <x:tableColumn id="6" name="Reuse / acknowledgment"/>
    <x:tableColumn id="7" name="Publication 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pterSourceMap" displayName="ChapterSourceMap" ref="A1:F8" headerRowCount="1" totalsRowCount="0" totalsRowShown="0">
  <x:tableColumns count="6">
    <x:tableColumn id="1" name="Section"/>
    <x:tableColumn id="2" name="Current heading"/>
    <x:tableColumn id="3" name="Literature question"/>
    <x:tableColumn id="4" name="Initial source allocation (IDs)"/>
    <x:tableColumn id="5" name="What not to claim"/>
    <x:tableColumn id="6" name="Use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thorityRegister" displayName="AuthorityRegister" ref="A1:J8" headerRowCount="1" totalsRowCount="0" totalsRowShown="0">
  <x:tableColumns count="10">
    <x:tableColumn id="1" name="ID"/>
    <x:tableColumn id="2" name="Owner"/>
    <x:tableColumn id="3" name="Location"/>
    <x:tableColumn id="4" name="Year"/>
    <x:tableColumn id="5" name="Title"/>
    <x:tableColumn id="6" name="Type"/>
    <x:tableColumn id="7" name="Sections"/>
    <x:tableColumn id="8" name="Working citation"/>
    <x:tableColumn id="9" name="Source link"/>
    <x:tableColumn id="10" name="Scope / verif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gacyGWURegister" displayName="LegacyGWURegister" ref="A1:I32" headerRowCount="1" totalsRowCount="0" totalsRowShown="0">
  <x:tableColumns count="9">
    <x:tableColumn id="1" name="AIS ID"/>
    <x:tableColumn id="2" name="Author"/>
    <x:tableColumn id="3" name="Year"/>
    <x:tableColumn id="4" name="Title"/>
    <x:tableColumn id="5" name="Source type"/>
    <x:tableColumn id="6" name="Method (register description)"/>
    <x:tableColumn id="7" name="Prior intended use"/>
    <x:tableColumn id="8" name="Original locator"/>
    <x:tableColumn id="9" name="Verification / counting 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videnceRegister" displayName="EvidenceRegister" ref="A1:F21" headerRowCount="1" totalsRowCount="0" totalsRowShown="0">
  <x:tableColumns count="6">
    <x:tableColumn id="1" name="Record"/>
    <x:tableColumn id="2" name="Check date"/>
    <x:tableColumn id="3" name="Object checked"/>
    <x:tableColumn id="4" name="Evidence / hash / numeric record"/>
    <x:tableColumn id="5" name="Location / source"/>
    <x:tableColumn id="6" name="Limi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angeRegister" displayName="ChangeRegister" ref="A1:E6" headerRowCount="1" totalsRowCount="0" totalsRowShown="0">
  <x:tableColumns count="5">
    <x:tableColumn id="1" name="Version"/>
    <x:tableColumn id="2" name="Date"/>
    <x:tableColumn id="3" name="Change"/>
    <x:tableColumn id="4" name="Inputs preserved"/>
    <x:tableColumn id="5" name="Acceptance boundar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2Citations_ACE" displayName="Ch2Citations_ACE" ref="A7:N27" headerRowCount="1" totalsRowCount="0" totalsRowShown="0">
  <x:tableColumns count="14">
    <x:tableColumn id="1" name="ACE ID"/>
    <x:tableColumn id="2" name="In-text citation"/>
    <x:tableColumn id="3" name="Source type"/>
    <x:tableColumn id="4" name="Role in §2.3"/>
    <x:tableColumn id="5" name="Body pages"/>
    <x:tableColumn id="6" name="Inline uses"/>
    <x:tableColumn id="7" name="Register change"/>
    <x:tableColumn id="8" name="Manuscript use"/>
    <x:tableColumn id="9" name="Carlo review"/>
    <x:tableColumn id="10" name="DOI / locator"/>
    <x:tableColumn id="11" name="Source URL"/>
    <x:tableColumn id="12" name="Full reference as supplied"/>
    <x:tableColumn id="13" name="Evidence boundary"/>
    <x:tableColumn id="14" name="Source docu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893d5eaa5b42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1e84fb33fb4e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f9525db5824d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581b7a102041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b43710220d47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74abb36f1d48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c6bc32e36b48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24b534a678436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53d06b5f78f466b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3" hidden="0" customWidth="1"/>
    <x:col min="3" max="3" width="82" hidden="0" customWidth="1"/>
  </x:cols>
  <x:sheetData>
    <x:row r="1" ht="32" customHeight="1">
      <x:c r="A1" s="22" t="str">
        <x:v>Item</x:v>
      </x:c>
      <x:c r="B1" s="23" t="str">
        <x:v>Value / status</x:v>
      </x:c>
      <x:c r="C1" s="24" t="str">
        <x:v>Meaning</x:v>
      </x:c>
    </x:row>
    <x:row r="2" ht="33" customHeight="1">
      <x:c r="A2" s="28" t="str">
        <x:v>Configuration</x:v>
      </x:c>
      <x:c r="B2" s="29" t="str">
        <x:v>Register 3 | v02 | CFG002</x:v>
      </x:c>
      <x:c r="C2" s="30" t="str">
        <x:v>26 October 2026: §2.3 citation reconciliation; predecessor v01 / CFG001 preserved as a backup.</x:v>
      </x:c>
    </x:row>
    <x:row r="3" ht="33" customHeight="1">
      <x:c r="A3" s="28" t="str">
        <x:v>Frozen A+C window</x:v>
      </x:c>
      <x:c r="B3" s="29" t="str">
        <x:v>2022-01-28 17:42:49–17:54:19 UTC</x:v>
      </x:c>
      <x:c r="C3" s="30" t="str">
        <x:v>OPS-SAT / NORAD 44878. Display shorthand 17:42–17:55. E is contemporaneous context, not necessarily local spacecraft sensing.</x:v>
      </x:c>
    </x:row>
    <x:row r="4" ht="33" customHeight="1">
      <x:c r="A4" s="28" t="str">
        <x:v>Literature candidate count</x:v>
      </x:c>
      <x:c r="B4" s="34" t="n">
        <x:f>COUNTA(Literature!A2:A74)</x:f>
        <x:v>73</x:v>
      </x:c>
      <x:c r="C4" s="30" t="str">
        <x:v>Scholarly candidate records identified by DOI or publisher locator; reading/approval remains independently tracked.</x:v>
      </x:c>
    </x:row>
    <x:row r="5" ht="33" customHeight="1">
      <x:c r="A5" s="28" t="str">
        <x:v>Journal article candidates</x:v>
      </x:c>
      <x:c r="B5" s="34" t="n">
        <x:f>COUNTIF(Literature!C2:C74,"Journal article")</x:f>
        <x:v>58</x:v>
      </x:c>
      <x:c r="C5" s="30" t="str">
        <x:v>Published journal records; no datasets, dissertations or project pages included.</x:v>
      </x:c>
    </x:row>
    <x:row r="6" ht="33" customHeight="1">
      <x:c r="A6" s="28" t="str">
        <x:v>Refereed conference candidates</x:v>
      </x:c>
      <x:c r="B6" s="34" t="n">
        <x:f>COUNTIF(Literature!C2:C74,"Refereed conference paper")</x:f>
        <x:v>15</x:v>
      </x:c>
      <x:c r="C6" s="30" t="str">
        <x:v>Confirm with Dr. Hao how the program treats refereed proceedings within the reference target.</x:v>
      </x:c>
    </x:row>
    <x:row r="7" ht="33" customHeight="1">
      <x:c r="A7" s="28" t="str">
        <x:v>Adopted after full-text review</x:v>
      </x:c>
      <x:c r="B7" s="34" t="n">
        <x:f>COUNTIF(Literature!Q2:Q74,"Adopted")</x:f>
        <x:v>0</x:v>
      </x:c>
      <x:c r="C7" s="30" t="str">
        <x:v>Existing adoption states preserved; only Carlo's confirmed full-text selection promotes a record to Adopted.</x:v>
      </x:c>
    </x:row>
    <x:row r="8" ht="33" customHeight="1">
      <x:c r="A8" s="28" t="str">
        <x:v>User-guideline lower reference target</x:v>
      </x:c>
      <x:c r="B8" s="34" t="n">
        <x:v>50</x:v>
      </x:c>
      <x:c r="C8" s="30" t="str">
        <x:v>The supplied GWU slide says typically 50–100 peer-reviewed references. This is not a quota of raw datasets.</x:v>
      </x:c>
    </x:row>
    <x:row r="9" ht="33" customHeight="1">
      <x:c r="A9" s="28" t="str">
        <x:v>Candidate margin above lower target</x:v>
      </x:c>
      <x:c r="B9" s="34" t="n">
        <x:f>B4-B8</x:f>
        <x:v>23</x:v>
      </x:c>
      <x:c r="C9" s="30" t="str">
        <x:v>Margin counts candidates only; it is not assurance that every candidate will survive relevance/quality review.</x:v>
      </x:c>
    </x:row>
    <x:row r="10" ht="33" customHeight="1">
      <x:c r="A10" s="28" t="str">
        <x:v>Data / software / archive routes</x:v>
      </x:c>
      <x:c r="B10" s="34" t="n">
        <x:f>COUNTA('Data Overlap'!A2:A22)</x:f>
        <x:v>21</x:v>
      </x:c>
      <x:c r="C10" s="30" t="str">
        <x:v>Grouped by source/product; related NASA origin products are flagged as non-independent.</x:v>
      </x:c>
    </x:row>
    <x:row r="11" ht="33" customHeight="1">
      <x:c r="A11" s="28" t="str">
        <x:v>PASS: bounded observations</x:v>
      </x:c>
      <x:c r="B11" s="34" t="n">
        <x:f>COUNTIF('Data Overlap'!F2:F22,"PASS — bounded observations")</x:f>
        <x:v>3</x:v>
      </x:c>
      <x:c r="C11" s="30" t="str">
        <x:v>Three existing A, C and E legs confirmed from archived input data; no new DES execution.</x:v>
      </x:c>
    </x:row>
    <x:row r="12" ht="33" customHeight="1">
      <x:c r="A12" s="28" t="str">
        <x:v>PASS: coarse environmental context</x:v>
      </x:c>
      <x:c r="B12" s="34" t="n">
        <x:f>COUNTIF('Data Overlap'!F2:F22,"PASS — coarse context only")</x:f>
        <x:v>2</x:v>
      </x:c>
      <x:c r="C12" s="30" t="str">
        <x:v>Two additional numeric context records (GFZ Kp and Kyoto Dst); cannot resolve minute-level transitions.</x:v>
      </x:c>
    </x:row>
    <x:row r="13" ht="33" customHeight="1">
      <x:c r="A13" s="28" t="str">
        <x:v>Pending: target-dated file exists</x:v>
      </x:c>
      <x:c r="B13" s="34" t="n">
        <x:f>COUNTIF('Data Overlap'!F2:F22,"PENDING — dated file located")</x:f>
        <x:v>2</x:v>
      </x:c>
      <x:c r="C13" s="30" t="str">
        <x:v>Exact GOES day/year file found; numeric time/QC inspection still required.</x:v>
      </x:c>
    </x:row>
    <x:row r="14" ht="33" customHeight="1">
      <x:c r="A14" s="28" t="str">
        <x:v>Pending: archive or code route</x:v>
      </x:c>
      <x:c r="B14" s="34" t="n">
        <x:f>COUNTIF('Data Overlap'!F2:F22,"PENDING — archive route only")</x:f>
        <x:v>8</x:v>
      </x:c>
      <x:c r="C14" s="30" t="str">
        <x:v>No verified target-window sample. These do not count as passing sources.</x:v>
      </x:c>
    </x:row>
    <x:row r="15" ht="33" customHeight="1">
      <x:c r="A15" s="28" t="str">
        <x:v>Legacy GWU exemplars</x:v>
      </x:c>
      <x:c r="B15" s="34" t="n">
        <x:f>COUNTA('Legacy GWU'!A2:A32)</x:f>
        <x:v>31</x:v>
      </x:c>
      <x:c r="C15" s="30" t="str">
        <x:v>31 inherited Praxis records, kept separate from journal/conference candidates.</x:v>
      </x:c>
    </x:row>
    <x:row r="16" ht="33" customHeight="1">
      <x:c r="A16" s="28" t="str">
        <x:v>Other authorities</x:v>
      </x:c>
      <x:c r="B16" s="34" t="n">
        <x:f>COUNTA('Other Authorities'!A2:A8)</x:f>
        <x:v>7</x:v>
      </x:c>
      <x:c r="C16" s="30" t="str">
        <x:v>Supporting institutional, government and agency sources; excluded from the journal/conference count.</x:v>
      </x:c>
    </x:row>
    <x:row r="17" ht="33" customHeight="1">
      <x:c r="A17" s="28" t="str">
        <x:v>Scope rule</x:v>
      </x:c>
      <x:c r="B17" s="29" t="str">
        <x:v>No automatic causal mapping</x:v>
      </x:c>
      <x:c r="C17" s="30" t="str">
        <x:v>Environmental simultaneity does not prove solar or natural conditions caused COMM degradation.</x:v>
      </x:c>
    </x:row>
    <x:row r="18" ht="33" customHeight="1">
      <x:c r="A18" s="28" t="str">
        <x:v>Independence rule</x:v>
      </x:c>
      <x:c r="B18" s="29" t="str">
        <x:v>More E sources ≠ more A+C events</x:v>
      </x:c>
      <x:c r="C18" s="30" t="str">
        <x:v>Multiple indices and original ACE/Wind measurements may share inputs with OMNI. Do not inflate sample size.</x:v>
      </x:c>
    </x:row>
    <x:row r="19" ht="33" customHeight="1">
      <x:c r="A19" s="28" t="str">
        <x:v>Quality rule</x:v>
      </x:c>
      <x:c r="B19" s="29" t="str">
        <x:v>Time + meaning + QC + geometry</x:v>
      </x:c>
      <x:c r="C19" s="30" t="str">
        <x:v>A file/date match is one gate. Units, flags, time convention, location and frequency must also be relevant.</x:v>
      </x:c>
    </x:row>
    <x:row r="20" ht="33" customHeight="1">
      <x:c r="A20" s="28" t="str">
        <x:v>Citation rule</x:v>
      </x:c>
      <x:c r="B20" s="29" t="str">
        <x:v>One source, several sections</x:v>
      </x:c>
      <x:c r="C20" s="30" t="str">
        <x:v>Same DOI used across sections counts once. Dataset and companion article are distinct records; only the article enters the paper count.</x:v>
      </x:c>
    </x:row>
    <x:row r="21" ht="33" customHeight="1">
      <x:c r="A21" s="28" t="str">
        <x:v>Editor handoff</x:v>
      </x:c>
      <x:c r="B21" s="29" t="str">
        <x:v>Metadata, DOI, citation, caveats</x:v>
      </x:c>
      <x:c r="C21" s="30" t="str">
        <x:v>This is source organization, not submission-ready Chapter 2 prose. Final APA typography and full-text claim support still need review.</x:v>
      </x:c>
    </x:row>
    <x:row r="22" ht="33" customHeight="1">
      <x:c r="A22" s="28" t="str">
        <x:v>Preservation</x:v>
      </x:c>
      <x:c r="B22" s="29" t="str">
        <x:v>Legacy source content preserved</x:v>
      </x:c>
      <x:c r="C22" s="30" t="str">
        <x:v>AIS CFG011 and Research Data CFG020 carry the shared citation crosswalk. Raw data, source IDs, scoring and readiness evidence remain unchanged.</x:v>
      </x:c>
    </x:row>
    <x:row r="23" ht="33" customHeight="1">
      <x:c r="A23" s="28" t="str">
        <x:v>Where to work</x:v>
      </x:c>
      <x:c r="B23" s="29" t="str">
        <x:v>Start with Chapter Map / Literature</x:v>
      </x:c>
      <x:c r="C23" s="30" t="str">
        <x:v>Filter by section, then read candidate full text. Use Data Overlap for acquisition and temporal-fit decisions.</x:v>
      </x:c>
    </x:row>
    <x:row r="24" ht="44" customHeight="1">
      <x:c r="A24" s="49" t="str">
        <x:v>§2.3 references mapped</x:v>
      </x:c>
      <x:c r="B24" s="49" t="n">
        <x:f>'Ch2 Citation Reconciliation'!A5</x:f>
        <x:v>20</x:v>
      </x:c>
      <x:c r="C24" s="49" t="str">
        <x:v>See Ch2 Citation Reconciliation; 16-page proposed expansion.</x:v>
      </x:c>
    </x:row>
    <x:row r="25" ht="44" customHeight="1">
      <x:c r="A25" s="49" t="str">
        <x:v>§2.3 new records</x:v>
      </x:c>
      <x:c r="B25" s="49" t="n">
        <x:f>'Ch2 Citation Reconciliation'!B5</x:f>
        <x:v>16</x:v>
      </x:c>
      <x:c r="C25" s="49" t="str">
        <x:v>13 Literature entries plus 3 Other Authorities entries.</x:v>
      </x:c>
    </x:row>
    <x:row r="26" ht="44" customHeight="1">
      <x:c r="A26" s="49" t="str">
        <x:v>§2.3 existing records</x:v>
      </x:c>
      <x:c r="B26" s="49" t="n">
        <x:f>'Ch2 Citation Reconciliation'!C5</x:f>
        <x:v>4</x:v>
      </x:c>
      <x:c r="C26" s="49" t="str">
        <x:v>L011, L012, L018, L044; adoption remains pending.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7" hidden="0" customWidth="1"/>
    <x:col min="3" max="3" width="20" hidden="0" customWidth="1"/>
    <x:col min="4" max="4" width="38" hidden="0" customWidth="1"/>
    <x:col min="5" max="5" width="8" hidden="0" customWidth="1"/>
    <x:col min="6" max="6" width="52" hidden="0" customWidth="1"/>
    <x:col min="7" max="7" width="36" hidden="0" customWidth="1"/>
    <x:col min="8" max="8" width="14" hidden="0" customWidth="1"/>
    <x:col min="9" max="9" width="16" hidden="0" customWidth="1"/>
    <x:col min="10" max="10" width="31" hidden="0" customWidth="1"/>
    <x:col min="11" max="11" width="32" hidden="0" customWidth="1"/>
    <x:col min="12" max="12" width="25" hidden="0" customWidth="1"/>
    <x:col min="13" max="13" width="52" hidden="0" customWidth="1"/>
    <x:col min="14" max="14" width="82" hidden="0" customWidth="1"/>
    <x:col min="15" max="15" width="52" hidden="0" customWidth="1"/>
    <x:col min="16" max="16" width="42" hidden="0" customWidth="1"/>
    <x:col min="17" max="17" width="31" hidden="0" customWidth="1"/>
    <x:col min="18" max="18" width="47" hidden="0" customWidth="1"/>
    <x:col min="19" max="19" width="39" hidden="0" customWidth="1"/>
  </x:cols>
  <x:sheetData>
    <x:row r="1" ht="32" customHeight="1">
      <x:c r="A1" s="22" t="str">
        <x:v>ID</x:v>
      </x:c>
      <x:c r="B1" s="23" t="str">
        <x:v>Sections</x:v>
      </x:c>
      <x:c r="C1" s="23" t="str">
        <x:v>Type</x:v>
      </x:c>
      <x:c r="D1" s="23" t="str">
        <x:v>Authors</x:v>
      </x:c>
      <x:c r="E1" s="23" t="str">
        <x:v>Year</x:v>
      </x:c>
      <x:c r="F1" s="23" t="str">
        <x:v>Title</x:v>
      </x:c>
      <x:c r="G1" s="23" t="str">
        <x:v>Venue</x:v>
      </x:c>
      <x:c r="H1" s="23" t="str">
        <x:v>Volume / issue</x:v>
      </x:c>
      <x:c r="I1" s="23" t="str">
        <x:v>Pages / article</x:v>
      </x:c>
      <x:c r="J1" s="23" t="str">
        <x:v>DOI</x:v>
      </x:c>
      <x:c r="K1" s="23" t="str">
        <x:v>Owner / institution</x:v>
      </x:c>
      <x:c r="L1" s="23" t="str">
        <x:v>Country / location</x:v>
      </x:c>
      <x:c r="M1" s="23" t="str">
        <x:v>Source URL</x:v>
      </x:c>
      <x:c r="N1" s="23" t="str">
        <x:v>Full citation (working APA metadata)</x:v>
      </x:c>
      <x:c r="O1" s="23" t="str">
        <x:v>Why relevant / use limit</x:v>
      </x:c>
      <x:c r="P1" s="23" t="str">
        <x:v>Verification level</x:v>
      </x:c>
      <x:c r="Q1" s="23" t="str">
        <x:v>Adoption</x:v>
      </x:c>
      <x:c r="R1" s="23" t="str">
        <x:v>Editor checks</x:v>
      </x:c>
      <x:c r="S1" s="24" t="str">
        <x:v>Time-overlap applicability</x:v>
      </x:c>
    </x:row>
    <x:row r="2" ht="81" customHeight="1">
      <x:c r="A2" s="28" t="str">
        <x:v>L001</x:v>
      </x:c>
      <x:c r="B2" s="29" t="str">
        <x:v>2.1;2.2;2.3;2.7</x:v>
      </x:c>
      <x:c r="C2" s="29" t="str">
        <x:v>Journal article</x:v>
      </x:c>
      <x:c r="D2" s="29" t="str">
        <x:v>Kodheli, O.; Lagunas, E.; Maturo, N.; Sharma, S. K.; Shankar, B.; Montoya, J. F. M.; Duncan, J. C. M.; Spano, D.; Chatzinotas, S.; Kisseleff, S.; Querol, J.; Lei, L.; Vu, T. X.; Goussetis, G.</x:v>
      </x:c>
      <x:c r="E2" s="29" t="n">
        <x:v>2021</x:v>
      </x:c>
      <x:c r="F2" s="29" t="str">
        <x:v>Satellite communications in the new space era: A survey and future challenges</x:v>
      </x:c>
      <x:c r="G2" s="29" t="str">
        <x:v>IEEE Communications Surveys &amp; Tutorials</x:v>
      </x:c>
      <x:c r="H2" s="29" t="str">
        <x:v>23(1)</x:v>
      </x:c>
      <x:c r="I2" s="29" t="str">
        <x:v>70–109</x:v>
      </x:c>
      <x:c r="J2" s="29" t="str">
        <x:v>10.1109/COMST.2020.3028247</x:v>
      </x:c>
      <x:c r="K2" s="29" t="str">
        <x:v>University of Luxembourg / coauthors / IEEE</x:v>
      </x:c>
      <x:c r="L2" s="29" t="str">
        <x:v>Luxembourg; UK; international</x:v>
      </x:c>
      <x:c r="M2" s="29" t="str">
        <x:v>https://orbilu.uni.lu/handle/10993/45772</x:v>
      </x:c>
      <x:c r="N2" s="29" t="str">
        <x:v>Kodheli, O., Lagunas, E., Maturo, N., Sharma, S. K., Shankar, B., Montoya, J. F. M., Duncan, J. C. M., Spano, D., Chatzinotas, S., Kisseleff, S., Querol, J., Lei, L., Vu, T. X., &amp; Goussetis, G. (2021). Satellite communications in the new space era: A survey and future challenges. IEEE Communications Surveys &amp; Tutorials, 23(1), 70–109. https://doi.org/10.1109/COMST.2020.3028247</x:v>
      </x:c>
      <x:c r="O2" s="29" t="str">
        <x:v>Satellite architecture, network constraints and onboard processing. A survey is not operational OPS-SAT performance data.</x:v>
      </x:c>
      <x:c r="P2" s="29" t="str">
        <x:v>Publisher/author metadata and abstract checked</x:v>
      </x:c>
      <x:c r="Q2" s="29" t="str">
        <x:v>Candidate — full-text selection pending</x:v>
      </x:c>
      <x:c r="R2" s="29" t="str">
        <x:v>Verify citation formatting against DOI export</x:v>
      </x:c>
      <x:c r="S2" s="30" t="str">
        <x:v>N/A — supporting literature, not a 2022 observation file</x:v>
      </x:c>
    </x:row>
    <x:row r="3" ht="80" customHeight="1">
      <x:c r="A3" s="28" t="str">
        <x:v>L002</x:v>
      </x:c>
      <x:c r="B3" s="29" t="str">
        <x:v>2.2;2.5</x:v>
      </x:c>
      <x:c r="C3" s="29" t="str">
        <x:v>Refereed conference paper</x:v>
      </x:c>
      <x:c r="D3" s="29" t="str">
        <x:v>Bhattacherjee, D.; Singla, A.</x:v>
      </x:c>
      <x:c r="E3" s="29" t="n">
        <x:v>2019</x:v>
      </x:c>
      <x:c r="F3" s="29" t="str">
        <x:v>Network topology design at 27,000 km/hour</x:v>
      </x:c>
      <x:c r="G3" s="29" t="str">
        <x:v>Proceedings of ACM CoNEXT 2019</x:v>
      </x:c>
      <x:c r="H3" s="29" t="str"/>
      <x:c r="I3" s="29" t="str">
        <x:v>341–354</x:v>
      </x:c>
      <x:c r="J3" s="29" t="str">
        <x:v>10.1145/3359989.3365407</x:v>
      </x:c>
      <x:c r="K3" s="29" t="str">
        <x:v>ETH Zurich / ACM</x:v>
      </x:c>
      <x:c r="L3" s="29" t="str">
        <x:v>Switzerland</x:v>
      </x:c>
      <x:c r="M3" s="29" t="str">
        <x:v>https://satnetwork.github.io/</x:v>
      </x:c>
      <x:c r="N3" s="29" t="str">
        <x:v>Bhattacherjee, D., &amp; Singla, A. (2019). Network topology design at 27,000 km/hour. Proceedings of ACM CoNEXT 2019, 341–354. https://doi.org/10.1145/3359989.3365407</x:v>
      </x:c>
      <x:c r="O3" s="29" t="str">
        <x:v>Changing LEO geometry/topology as communications constraints; not a trace of the current OPS-SAT window.</x:v>
      </x:c>
      <x:c r="P3" s="29" t="str">
        <x:v>Publisher/author metadata and abstract checked</x:v>
      </x:c>
      <x:c r="Q3" s="29" t="str">
        <x:v>Candidate — full-text selection pending</x:v>
      </x:c>
      <x:c r="R3" s="29" t="str">
        <x:v>Verify citation formatting against DOI export</x:v>
      </x:c>
      <x:c r="S3" s="30" t="str">
        <x:v>N/A — supporting literature, not a 2022 observation file</x:v>
      </x:c>
    </x:row>
    <x:row r="4" ht="80" customHeight="1">
      <x:c r="A4" s="28" t="str">
        <x:v>L003</x:v>
      </x:c>
      <x:c r="B4" s="29" t="str">
        <x:v>2.2;2.5</x:v>
      </x:c>
      <x:c r="C4" s="29" t="str">
        <x:v>Refereed conference paper</x:v>
      </x:c>
      <x:c r="D4" s="29" t="str">
        <x:v>Kassing, S.; Bhattacherjee, D.; Águas, A. B.; Saethre, J. E.; Singla, A.</x:v>
      </x:c>
      <x:c r="E4" s="29" t="n">
        <x:v>2020</x:v>
      </x:c>
      <x:c r="F4" s="29" t="str">
        <x:v>Exploring the “Internet from space” with Hypatia</x:v>
      </x:c>
      <x:c r="G4" s="29" t="str">
        <x:v>Proceedings of ACM IMC 2020</x:v>
      </x:c>
      <x:c r="H4" s="29" t="str"/>
      <x:c r="I4" s="29" t="str">
        <x:v>214–229</x:v>
      </x:c>
      <x:c r="J4" s="29" t="str">
        <x:v>10.1145/3419394.3423635</x:v>
      </x:c>
      <x:c r="K4" s="29" t="str">
        <x:v>ETH Zurich / ACM</x:v>
      </x:c>
      <x:c r="L4" s="29" t="str">
        <x:v>Switzerland</x:v>
      </x:c>
      <x:c r="M4" s="29" t="str">
        <x:v>https://systems.ethz.ch/news-and-events/news/2020/11/acm-imc-2020-best-paper-award.html</x:v>
      </x:c>
      <x:c r="N4" s="29" t="str">
        <x:v>Kassing, S., Bhattacherjee, D., Águas, A. B., Saethre, J. E., &amp; Singla, A. (2020). Exploring the “Internet from space” with Hypatia. Proceedings of ACM IMC 2020, 214–229. https://doi.org/10.1145/3419394.3423635</x:v>
      </x:c>
      <x:c r="O4" s="29" t="str">
        <x:v>Satellite-network simulation precedent and reproducible architecture comparisons; not empirical January 2022 validation.</x:v>
      </x:c>
      <x:c r="P4" s="29" t="str">
        <x:v>Publisher/author metadata and abstract checked</x:v>
      </x:c>
      <x:c r="Q4" s="29" t="str">
        <x:v>Candidate — full-text selection pending</x:v>
      </x:c>
      <x:c r="R4" s="29" t="str">
        <x:v>Verify citation formatting against DOI export</x:v>
      </x:c>
      <x:c r="S4" s="30" t="str">
        <x:v>N/A — supporting literature, not a 2022 observation file</x:v>
      </x:c>
    </x:row>
    <x:row r="5" ht="80" customHeight="1">
      <x:c r="A5" s="28" t="str">
        <x:v>L004</x:v>
      </x:c>
      <x:c r="B5" s="29" t="str">
        <x:v>2.2;2.5</x:v>
      </x:c>
      <x:c r="C5" s="29" t="str">
        <x:v>Refereed conference paper</x:v>
      </x:c>
      <x:c r="D5" s="29" t="str">
        <x:v>Lai, Z.; Li, H.; Deng, Y.; Wu, Q.; Liu, J.; Li, Y.; Li, J.; Liu, L.; Liu, W.; Wu, J.</x:v>
      </x:c>
      <x:c r="E5" s="29" t="n">
        <x:v>2023</x:v>
      </x:c>
      <x:c r="F5" s="29" t="str">
        <x:v>StarryNet: Empowering researchers to evaluate futuristic integrated space and terrestrial networks</x:v>
      </x:c>
      <x:c r="G5" s="29" t="str">
        <x:v>20th USENIX Symposium on Networked Systems Design and Implementation (NSDI 23)</x:v>
      </x:c>
      <x:c r="H5" s="29" t="str"/>
      <x:c r="I5" s="29" t="str">
        <x:v>1309–1324</x:v>
      </x:c>
      <x:c r="J5" s="29" t="str"/>
      <x:c r="K5" s="29" t="str">
        <x:v>Tsinghua University / coauthors / USENIX</x:v>
      </x:c>
      <x:c r="L5" s="29" t="str">
        <x:v>China</x:v>
      </x:c>
      <x:c r="M5" s="29" t="str">
        <x:v>https://www.usenix.org/conference/nsdi23/presentation/lai-zeqi</x:v>
      </x:c>
      <x:c r="N5" s="29" t="str">
        <x:v>Lai, Z., Li, H., Deng, Y., Wu, Q., Liu, J., Li, Y., Li, J., Liu, L., Liu, W., &amp; Wu, J. (2023). StarryNet: Empowering researchers to evaluate futuristic integrated space and terrestrial networks. 20th USENIX Symposium on Networked Systems Design and Implementation (NSDI 23), 1309–1324. https://doi.org/</x:v>
      </x:c>
      <x:c r="O5" s="29" t="str">
        <x:v>Emulation of integrated space/terrestrial networks; compare abstraction and scale with DES.</x:v>
      </x:c>
      <x:c r="P5" s="29" t="str">
        <x:v>Publisher/author metadata and abstract checked</x:v>
      </x:c>
      <x:c r="Q5" s="29" t="str">
        <x:v>Candidate — full-text selection pending</x:v>
      </x:c>
      <x:c r="R5" s="29" t="str">
        <x:v>Verify citation formatting against DOI export</x:v>
      </x:c>
      <x:c r="S5" s="30" t="str">
        <x:v>N/A — supporting literature, not a 2022 observation file</x:v>
      </x:c>
    </x:row>
    <x:row r="6" ht="80" customHeight="1">
      <x:c r="A6" s="28" t="str">
        <x:v>L005</x:v>
      </x:c>
      <x:c r="B6" s="29" t="str">
        <x:v>2.2;2.4;2.7</x:v>
      </x:c>
      <x:c r="C6" s="29" t="str">
        <x:v>Refereed conference paper</x:v>
      </x:c>
      <x:c r="D6" s="29" t="str">
        <x:v>Michel, F.; Trevisan, M.; Giordano, D.; Bonaventure, O.</x:v>
      </x:c>
      <x:c r="E6" s="29" t="n">
        <x:v>2022</x:v>
      </x:c>
      <x:c r="F6" s="29" t="str">
        <x:v>A first look at Starlink performance</x:v>
      </x:c>
      <x:c r="G6" s="29" t="str">
        <x:v>Proceedings of ACM IMC 2022</x:v>
      </x:c>
      <x:c r="H6" s="29" t="str"/>
      <x:c r="I6" s="29" t="str">
        <x:v>130–136</x:v>
      </x:c>
      <x:c r="J6" s="29" t="str">
        <x:v>10.1145/3517745.3561416</x:v>
      </x:c>
      <x:c r="K6" s="29" t="str">
        <x:v>UCLouvain / Politecnico di Torino / ACM</x:v>
      </x:c>
      <x:c r="L6" s="29" t="str">
        <x:v>Belgium; Italy</x:v>
      </x:c>
      <x:c r="M6" s="29" t="str">
        <x:v>https://doi.org/10.1145/3517745.3561416</x:v>
      </x:c>
      <x:c r="N6" s="29" t="str">
        <x:v>Michel, F., Trevisan, M., Giordano, D., &amp; Bonaventure, O. (2022). A first look at Starlink performance. Proceedings of ACM IMC 2022, 130–136. https://doi.org/10.1145/3517745.3561416</x:v>
      </x:c>
      <x:c r="O6" s="29" t="str">
        <x:v>Empirical network variability and measurement design; Starlink is not the OPS-SAT radio link.</x:v>
      </x:c>
      <x:c r="P6" s="29" t="str">
        <x:v>Publisher/author metadata and abstract checked</x:v>
      </x:c>
      <x:c r="Q6" s="29" t="str">
        <x:v>Candidate — full-text selection pending</x:v>
      </x:c>
      <x:c r="R6" s="29" t="str">
        <x:v>Publisher page range checked; final style pass only.</x:v>
      </x:c>
      <x:c r="S6" s="30" t="str">
        <x:v>N/A — supporting literature, not a 2022 observation file</x:v>
      </x:c>
    </x:row>
    <x:row r="7" ht="80" customHeight="1">
      <x:c r="A7" s="28" t="str">
        <x:v>L006</x:v>
      </x:c>
      <x:c r="B7" s="29" t="str">
        <x:v>2.3;2.5;2.7</x:v>
      </x:c>
      <x:c r="C7" s="29" t="str">
        <x:v>Refereed conference paper</x:v>
      </x:c>
      <x:c r="D7" s="29" t="str">
        <x:v>Denby, B.; Lucia, B.</x:v>
      </x:c>
      <x:c r="E7" s="29" t="n">
        <x:v>2020</x:v>
      </x:c>
      <x:c r="F7" s="29" t="str">
        <x:v>Orbital edge computing: Nanosatellite constellations as a new class of computer system</x:v>
      </x:c>
      <x:c r="G7" s="29" t="str">
        <x:v>Proceedings of ASPLOS 2020</x:v>
      </x:c>
      <x:c r="H7" s="29" t="str"/>
      <x:c r="I7" s="29" t="str">
        <x:v>939–954</x:v>
      </x:c>
      <x:c r="J7" s="29" t="str">
        <x:v>10.1145/3373376.3378473</x:v>
      </x:c>
      <x:c r="K7" s="29" t="str">
        <x:v>Carnegie Mellon University / ACM</x:v>
      </x:c>
      <x:c r="L7" s="29" t="str">
        <x:v>United States</x:v>
      </x:c>
      <x:c r="M7" s="29" t="str">
        <x:v>https://abstract.ece.cmu.edu/space/</x:v>
      </x:c>
      <x:c r="N7" s="29" t="str">
        <x:v>Denby, B., &amp; Lucia, B. (2020). Orbital edge computing: Nanosatellite constellations as a new class of computer system. Proceedings of ASPLOS 2020, 939–954. https://doi.org/10.1145/3373376.3378473</x:v>
      </x:c>
      <x:c r="O7" s="29" t="str">
        <x:v>Direct orbital-edge architecture precedent: computation, energy and downlink trade; simulation is not proof of current performance.</x:v>
      </x:c>
      <x:c r="P7" s="29" t="str">
        <x:v>Publisher/author metadata and abstract checked</x:v>
      </x:c>
      <x:c r="Q7" s="29" t="str">
        <x:v>Candidate — full-text selection pending</x:v>
      </x:c>
      <x:c r="R7" s="29" t="str">
        <x:v>Verify citation formatting against DOI export</x:v>
      </x:c>
      <x:c r="S7" s="30" t="str">
        <x:v>N/A — supporting literature, not a 2022 observation file</x:v>
      </x:c>
    </x:row>
    <x:row r="8" ht="80" customHeight="1">
      <x:c r="A8" s="28" t="str">
        <x:v>L007</x:v>
      </x:c>
      <x:c r="B8" s="29" t="str">
        <x:v>2.3;2.7</x:v>
      </x:c>
      <x:c r="C8" s="29" t="str">
        <x:v>Journal article</x:v>
      </x:c>
      <x:c r="D8" s="29" t="str">
        <x:v>Denby, B.; Lucia, B.</x:v>
      </x:c>
      <x:c r="E8" s="29" t="n">
        <x:v>2019</x:v>
      </x:c>
      <x:c r="F8" s="29" t="str">
        <x:v>Orbital edge computing: Machine inference in space</x:v>
      </x:c>
      <x:c r="G8" s="29" t="str">
        <x:v>IEEE Computer Architecture Letters</x:v>
      </x:c>
      <x:c r="H8" s="29" t="str">
        <x:v>18(1)</x:v>
      </x:c>
      <x:c r="I8" s="29" t="str">
        <x:v>59–62</x:v>
      </x:c>
      <x:c r="J8" s="29" t="str">
        <x:v>10.1109/LCA.2019.2907539</x:v>
      </x:c>
      <x:c r="K8" s="29" t="str">
        <x:v>Carnegie Mellon University / IEEE</x:v>
      </x:c>
      <x:c r="L8" s="29" t="str">
        <x:v>United States</x:v>
      </x:c>
      <x:c r="M8" s="29" t="str">
        <x:v>https://dblp.uni-trier.de/rec/journals/cal/DenbyL19.html</x:v>
      </x:c>
      <x:c r="N8" s="29" t="str">
        <x:v>Denby, B., &amp; Lucia, B. (2019). Orbital edge computing: Machine inference in space. IEEE Computer Architecture Letters, 18(1), 59–62. https://doi.org/10.1109/LCA.2019.2907539</x:v>
      </x:c>
      <x:c r="O8" s="29" t="str">
        <x:v>Short primary orbital-inference paper. Distinct from the expanded ASPLOS paper; cite only for distinct support.</x:v>
      </x:c>
      <x:c r="P8" s="29" t="str">
        <x:v>Bibliographic identity checked; full text still to read</x:v>
      </x:c>
      <x:c r="Q8" s="29" t="str">
        <x:v>Candidate — full-text selection pending</x:v>
      </x:c>
      <x:c r="R8" s="29" t="str">
        <x:v>Verify citation formatting against DOI export</x:v>
      </x:c>
      <x:c r="S8" s="30" t="str">
        <x:v>N/A — supporting literature, not a 2022 observation file</x:v>
      </x:c>
    </x:row>
    <x:row r="9" ht="80" customHeight="1">
      <x:c r="A9" s="28" t="str">
        <x:v>L008</x:v>
      </x:c>
      <x:c r="B9" s="29" t="str">
        <x:v>2.3;2.7</x:v>
      </x:c>
      <x:c r="C9" s="29" t="str">
        <x:v>Journal article</x:v>
      </x:c>
      <x:c r="D9" s="29" t="str">
        <x:v>Shi, W.; Cao, J.; Zhang, Q.; Li, Y.; Xu, L.</x:v>
      </x:c>
      <x:c r="E9" s="29" t="n">
        <x:v>2016</x:v>
      </x:c>
      <x:c r="F9" s="29" t="str">
        <x:v>Edge computing: Vision and challenges</x:v>
      </x:c>
      <x:c r="G9" s="29" t="str">
        <x:v>IEEE Internet of Things Journal</x:v>
      </x:c>
      <x:c r="H9" s="29" t="str">
        <x:v>3(5)</x:v>
      </x:c>
      <x:c r="I9" s="29" t="str">
        <x:v>637–646</x:v>
      </x:c>
      <x:c r="J9" s="29" t="str">
        <x:v>10.1109/JIOT.2016.2579198</x:v>
      </x:c>
      <x:c r="K9" s="29" t="str">
        <x:v>Authors / publisher</x:v>
      </x:c>
      <x:c r="L9" s="29" t="str">
        <x:v>See publication affiliations</x:v>
      </x:c>
      <x:c r="M9" s="29" t="str">
        <x:v>https://doi.org/10.1109/JIOT.2016.2579198</x:v>
      </x:c>
      <x:c r="N9" s="29" t="str">
        <x:v>Shi, W., Cao, J., Zhang, Q., Li, Y., &amp; Xu, L. (2016). Edge computing: Vision and challenges. IEEE Internet of Things Journal, 3(5), 637–646. https://doi.org/10.1109/JIOT.2016.2579198</x:v>
      </x:c>
      <x:c r="O9" s="29" t="str">
        <x:v>Foundational edge placement, data movement and constraints; transfer terrestrial concepts cautiously.</x:v>
      </x:c>
      <x:c r="P9" s="29" t="str">
        <x:v>Publisher/author metadata and abstract checked</x:v>
      </x:c>
      <x:c r="Q9" s="29" t="str">
        <x:v>Candidate — full-text selection pending</x:v>
      </x:c>
      <x:c r="R9" s="29" t="str">
        <x:v>Verify citation formatting against DOI export</x:v>
      </x:c>
      <x:c r="S9" s="30" t="str">
        <x:v>N/A — supporting literature, not a 2022 observation file</x:v>
      </x:c>
    </x:row>
    <x:row r="10" ht="80" customHeight="1">
      <x:c r="A10" s="28" t="str">
        <x:v>L009</x:v>
      </x:c>
      <x:c r="B10" s="29" t="str">
        <x:v>2.3;2.5</x:v>
      </x:c>
      <x:c r="C10" s="29" t="str">
        <x:v>Journal article</x:v>
      </x:c>
      <x:c r="D10" s="29" t="str">
        <x:v>Mao, Y.; You, C.; Zhang, J.; Huang, K.; Letaief, K. B.</x:v>
      </x:c>
      <x:c r="E10" s="29" t="n">
        <x:v>2017</x:v>
      </x:c>
      <x:c r="F10" s="29" t="str">
        <x:v>A survey on mobile edge computing: The communication perspective</x:v>
      </x:c>
      <x:c r="G10" s="29" t="str">
        <x:v>IEEE Communications Surveys &amp; Tutorials</x:v>
      </x:c>
      <x:c r="H10" s="29" t="str">
        <x:v>19(4)</x:v>
      </x:c>
      <x:c r="I10" s="29" t="str">
        <x:v>2322–2358</x:v>
      </x:c>
      <x:c r="J10" s="29" t="str">
        <x:v>10.1109/COMST.2017.2745201</x:v>
      </x:c>
      <x:c r="K10" s="29" t="str">
        <x:v>Authors / publisher</x:v>
      </x:c>
      <x:c r="L10" s="29" t="str">
        <x:v>See publication affiliations</x:v>
      </x:c>
      <x:c r="M10" s="29" t="str">
        <x:v>https://arxiv.org/abs/1701.01090</x:v>
      </x:c>
      <x:c r="N10" s="29" t="str">
        <x:v>Mao, Y., You, C., Zhang, J., Huang, K., &amp; Letaief, K. B. (2017). A survey on mobile edge computing: The communication perspective. IEEE Communications Surveys &amp; Tutorials, 19(4), 2322–2358. https://doi.org/10.1109/COMST.2017.2745201</x:v>
      </x:c>
      <x:c r="O10" s="29" t="str">
        <x:v>Joint computation/communication resource trade; not spacecraft-specific calibration.</x:v>
      </x:c>
      <x:c r="P10" s="29" t="str">
        <x:v>Publisher/author metadata and abstract checked</x:v>
      </x:c>
      <x:c r="Q10" s="29" t="str">
        <x:v>Candidate — full-text selection pending</x:v>
      </x:c>
      <x:c r="R10" s="29" t="str">
        <x:v>Verify citation formatting against DOI export</x:v>
      </x:c>
      <x:c r="S10" s="30" t="str">
        <x:v>N/A — supporting literature, not a 2022 observation file</x:v>
      </x:c>
    </x:row>
    <x:row r="11" ht="80" customHeight="1">
      <x:c r="A11" s="28" t="str">
        <x:v>L010</x:v>
      </x:c>
      <x:c r="B11" s="29" t="str">
        <x:v>2.3;2.5</x:v>
      </x:c>
      <x:c r="C11" s="29" t="str">
        <x:v>Journal article</x:v>
      </x:c>
      <x:c r="D11" s="29" t="str">
        <x:v>Mach, P.; Becvar, Z.</x:v>
      </x:c>
      <x:c r="E11" s="29" t="n">
        <x:v>2017</x:v>
      </x:c>
      <x:c r="F11" s="29" t="str">
        <x:v>Mobile edge computing: A survey on architecture and computation offloading</x:v>
      </x:c>
      <x:c r="G11" s="29" t="str">
        <x:v>IEEE Communications Surveys &amp; Tutorials</x:v>
      </x:c>
      <x:c r="H11" s="29" t="str">
        <x:v>19(3)</x:v>
      </x:c>
      <x:c r="I11" s="29" t="str">
        <x:v>1628–1656</x:v>
      </x:c>
      <x:c r="J11" s="29" t="str">
        <x:v>10.1109/COMST.2017.2682318</x:v>
      </x:c>
      <x:c r="K11" s="29" t="str">
        <x:v>Czech Technical University / IEEE</x:v>
      </x:c>
      <x:c r="L11" s="29" t="str">
        <x:v>Czech Republic</x:v>
      </x:c>
      <x:c r="M11" s="29" t="str">
        <x:v>https://arxiv.org/abs/1702.05309</x:v>
      </x:c>
      <x:c r="N11" s="29" t="str">
        <x:v>Mach, P., &amp; Becvar, Z. (2017). Mobile edge computing: A survey on architecture and computation offloading. IEEE Communications Surveys &amp; Tutorials, 19(3), 1628–1656. https://doi.org/10.1109/COMST.2017.2682318</x:v>
      </x:c>
      <x:c r="O11" s="29" t="str">
        <x:v>Offloading alternatives and resource constraints; use to define architecture options rather than promise edge superiority.</x:v>
      </x:c>
      <x:c r="P11" s="29" t="str">
        <x:v>Publisher/author metadata and abstract checked</x:v>
      </x:c>
      <x:c r="Q11" s="29" t="str">
        <x:v>Candidate — full-text selection pending</x:v>
      </x:c>
      <x:c r="R11" s="29" t="str">
        <x:v>Verify citation formatting against DOI export</x:v>
      </x:c>
      <x:c r="S11" s="30" t="str">
        <x:v>N/A — supporting literature, not a 2022 observation file</x:v>
      </x:c>
    </x:row>
    <x:row r="12" ht="80" customHeight="1">
      <x:c r="A12" s="28" t="str">
        <x:v>L011</x:v>
      </x:c>
      <x:c r="B12" s="29" t="str">
        <x:v>2.3;2.6</x:v>
      </x:c>
      <x:c r="C12" s="29" t="str">
        <x:v>Journal article</x:v>
      </x:c>
      <x:c r="D12" s="29" t="str">
        <x:v>Giuffrida, G.; Diana, L.; de Gioia, F.; Benelli, G.; Meoni, G.; Donati, M.; Fanucci, L.</x:v>
      </x:c>
      <x:c r="E12" s="29" t="n">
        <x:v>2020</x:v>
      </x:c>
      <x:c r="F12" s="29" t="str">
        <x:v>CloudScout: A deep neural network for on-board cloud detection on hyperspectral images</x:v>
      </x:c>
      <x:c r="G12" s="29" t="str">
        <x:v>Remote Sensing</x:v>
      </x:c>
      <x:c r="H12" s="29" t="str">
        <x:v>12(14)</x:v>
      </x:c>
      <x:c r="I12" s="29" t="str">
        <x:v>2205</x:v>
      </x:c>
      <x:c r="J12" s="29" t="str">
        <x:v>10.3390/rs12142205</x:v>
      </x:c>
      <x:c r="K12" s="29" t="str">
        <x:v>University of Pisa / coauthors / MDPI</x:v>
      </x:c>
      <x:c r="L12" s="29" t="str">
        <x:v>Italy</x:v>
      </x:c>
      <x:c r="M12" s="29" t="str">
        <x:v>https://www.mdpi.com/2072-4292/12/14/2205</x:v>
      </x:c>
      <x:c r="N12" s="29" t="str">
        <x:v>Giuffrida, G., Diana, L., de Gioia, F., Benelli, G., Meoni, G., Donati, M., &amp; Fanucci, L. (2020). CloudScout: A deep neural network for on-board cloud detection on hyperspectral images. Remote Sensing, 12(14), 2205. https://doi.org/10.3390/rs12142205</x:v>
      </x:c>
      <x:c r="O12" s="29" t="str">
        <x:v>Onboard selection/filtering use case. Separate preserved task information from compression-induced information loss.</x:v>
      </x:c>
      <x:c r="P12" s="29" t="str">
        <x:v>Publisher/author metadata and abstract checked</x:v>
      </x:c>
      <x:c r="Q12" s="29" t="str">
        <x:v>Candidate — full-text selection pending</x:v>
      </x:c>
      <x:c r="R12" s="29" t="str">
        <x:v>Verify citation formatting against DOI export</x:v>
      </x:c>
      <x:c r="S12" s="30" t="str">
        <x:v>N/A — supporting literature, not a 2022 observation file</x:v>
      </x:c>
    </x:row>
    <x:row r="13" ht="80" customHeight="1">
      <x:c r="A13" s="28" t="str">
        <x:v>L012</x:v>
      </x:c>
      <x:c r="B13" s="29" t="str">
        <x:v>2.3;2.5</x:v>
      </x:c>
      <x:c r="C13" s="29" t="str">
        <x:v>Journal article</x:v>
      </x:c>
      <x:c r="D13" s="29" t="str">
        <x:v>Rapuano, E.; Meoni, G.; Pacini, T.; Dinelli, G.; Furano, G.; Giuffrida, G.; Fanucci, L.</x:v>
      </x:c>
      <x:c r="E13" s="29" t="n">
        <x:v>2021</x:v>
      </x:c>
      <x:c r="F13" s="29" t="str">
        <x:v>An FPGA-based hardware accelerator for CNNs inference on board satellites: Benchmarking with Myriad 2-based solution for the CloudScout case study</x:v>
      </x:c>
      <x:c r="G13" s="29" t="str">
        <x:v>Remote Sensing</x:v>
      </x:c>
      <x:c r="H13" s="29" t="str">
        <x:v>13(8)</x:v>
      </x:c>
      <x:c r="I13" s="29" t="str">
        <x:v>1518</x:v>
      </x:c>
      <x:c r="J13" s="29" t="str">
        <x:v>10.3390/rs13081518</x:v>
      </x:c>
      <x:c r="K13" s="29" t="str">
        <x:v>University of Pisa / ESA / MDPI</x:v>
      </x:c>
      <x:c r="L13" s="29" t="str">
        <x:v>Italy; ESA/Netherlands</x:v>
      </x:c>
      <x:c r="M13" s="29" t="str">
        <x:v>https://www.mdpi.com/2072-4292/13/8/1518</x:v>
      </x:c>
      <x:c r="N13" s="29" t="str">
        <x:v>Rapuano, E., Meoni, G., Pacini, T., Dinelli, G., Furano, G., Giuffrida, G., &amp; Fanucci, L. (2021). An FPGA-based hardware accelerator for CNNs inference on board satellites: Benchmarking with Myriad 2-based solution for the CloudScout case study. Remote Sensing, 13(8), 1518. https://doi.org/10.3390/rs13081518</x:v>
      </x:c>
      <x:c r="O13" s="29" t="str">
        <x:v>Hardware-dependent inference cost and platform benchmarking. No automatic mapping to OPS-SAT processing seconds.</x:v>
      </x:c>
      <x:c r="P13" s="29" t="str">
        <x:v>Publisher/author metadata and abstract checked</x:v>
      </x:c>
      <x:c r="Q13" s="29" t="str">
        <x:v>Candidate — full-text selection pending</x:v>
      </x:c>
      <x:c r="R13" s="29" t="str">
        <x:v>Verify citation formatting against DOI export</x:v>
      </x:c>
      <x:c r="S13" s="30" t="str">
        <x:v>N/A — supporting literature, not a 2022 observation file</x:v>
      </x:c>
    </x:row>
    <x:row r="14" ht="80" customHeight="1">
      <x:c r="A14" s="28" t="str">
        <x:v>L013</x:v>
      </x:c>
      <x:c r="B14" s="29" t="str">
        <x:v>2.4;2.6</x:v>
      </x:c>
      <x:c r="C14" s="29" t="str">
        <x:v>Journal article</x:v>
      </x:c>
      <x:c r="D14" s="29" t="str">
        <x:v>King, J. H.; Papitashvili, N. E.</x:v>
      </x:c>
      <x:c r="E14" s="29" t="n">
        <x:v>2005</x:v>
      </x:c>
      <x:c r="F14" s="29" t="str">
        <x:v>Solar wind spatial scales in and comparisons of hourly Wind and ACE plasma and magnetic field data</x:v>
      </x:c>
      <x:c r="G14" s="29" t="str">
        <x:v>Journal of Geophysical Research: Space Physics</x:v>
      </x:c>
      <x:c r="H14" s="29" t="str">
        <x:v>110</x:v>
      </x:c>
      <x:c r="I14" s="29" t="str">
        <x:v>A02104</x:v>
      </x:c>
      <x:c r="J14" s="29" t="str">
        <x:v>10.1029/2004JA010649</x:v>
      </x:c>
      <x:c r="K14" s="29" t="str">
        <x:v>NASA GSFC / AGU</x:v>
      </x:c>
      <x:c r="L14" s="29" t="str">
        <x:v>United States</x:v>
      </x:c>
      <x:c r="M14" s="29" t="str">
        <x:v>https://agupubs.onlinelibrary.wiley.com/doi/abs/10.1029/2004JA010649</x:v>
      </x:c>
      <x:c r="N14" s="29" t="str">
        <x:v>King, J. H., &amp; Papitashvili, N. E. (2005). Solar wind spatial scales in and comparisons of hourly Wind and ACE plasma and magnetic field data. Journal of Geophysical Research: Space Physics, 110, A02104. https://doi.org/10.1029/2004JA010649</x:v>
      </x:c>
      <x:c r="O14" s="29" t="str">
        <x:v>OMNI cross-normalization, spacecraft separation and time-shift uncertainty; hourly OMNI 2 study does not independently validate each high-resolution sample.</x:v>
      </x:c>
      <x:c r="P14" s="29" t="str">
        <x:v>Publisher/author metadata and abstract checked</x:v>
      </x:c>
      <x:c r="Q14" s="29" t="str">
        <x:v>Candidate — full-text selection pending</x:v>
      </x:c>
      <x:c r="R14" s="29" t="str">
        <x:v>Verify citation formatting against DOI export</x:v>
      </x:c>
      <x:c r="S14" s="30" t="str">
        <x:v>N/A — supporting literature, not a 2022 observation file</x:v>
      </x:c>
    </x:row>
    <x:row r="15" ht="80" customHeight="1">
      <x:c r="A15" s="28" t="str">
        <x:v>L014</x:v>
      </x:c>
      <x:c r="B15" s="29" t="str">
        <x:v>2.4;2.6</x:v>
      </x:c>
      <x:c r="C15" s="29" t="str">
        <x:v>Journal article</x:v>
      </x:c>
      <x:c r="D15" s="29" t="str">
        <x:v>Matzka, J.; Stolle, C.; Yamazaki, Y.; Bronkalla, O.; Morschhauser, A.</x:v>
      </x:c>
      <x:c r="E15" s="29" t="n">
        <x:v>2021</x:v>
      </x:c>
      <x:c r="F15" s="29" t="str">
        <x:v>The geomagnetic Kp index and derived indices of geomagnetic activity</x:v>
      </x:c>
      <x:c r="G15" s="29" t="str">
        <x:v>Space Weather</x:v>
      </x:c>
      <x:c r="H15" s="29" t="str">
        <x:v>19</x:v>
      </x:c>
      <x:c r="I15" s="29" t="str">
        <x:v>e2020SW002641</x:v>
      </x:c>
      <x:c r="J15" s="29" t="str">
        <x:v>10.1029/2020SW002641</x:v>
      </x:c>
      <x:c r="K15" s="29" t="str">
        <x:v>GFZ / AGU</x:v>
      </x:c>
      <x:c r="L15" s="29" t="str">
        <x:v>Germany</x:v>
      </x:c>
      <x:c r="M15" s="29" t="str">
        <x:v>https://doi.org/10.1029/2020SW002641</x:v>
      </x:c>
      <x:c r="N15" s="29" t="str">
        <x:v>Matzka, J., Stolle, C., Yamazaki, Y., Bronkalla, O., &amp; Morschhauser, A. (2021). The geomagnetic Kp index and derived indices of geomagnetic activity. Space Weather, 19, e2020SW002641. https://doi.org/10.1029/2020SW002641</x:v>
      </x:c>
      <x:c r="O15" s="29" t="str">
        <x:v>Defines Kp and related products. Three-hour Kp supplies coarse context, not minute-scale link impairment.</x:v>
      </x:c>
      <x:c r="P15" s="29" t="str">
        <x:v>Publisher/author metadata and abstract checked</x:v>
      </x:c>
      <x:c r="Q15" s="29" t="str">
        <x:v>Candidate — full-text selection pending</x:v>
      </x:c>
      <x:c r="R15" s="29" t="str">
        <x:v>Verify citation formatting against DOI export</x:v>
      </x:c>
      <x:c r="S15" s="30" t="str">
        <x:v>N/A — supporting literature, not a 2022 observation file</x:v>
      </x:c>
    </x:row>
    <x:row r="16" ht="80" customHeight="1">
      <x:c r="A16" s="28" t="str">
        <x:v>L015</x:v>
      </x:c>
      <x:c r="B16" s="29" t="str">
        <x:v>2.4;2.6</x:v>
      </x:c>
      <x:c r="C16" s="29" t="str">
        <x:v>Journal article</x:v>
      </x:c>
      <x:c r="D16" s="29" t="str">
        <x:v>Davis, T. N.; Sugiura, M.</x:v>
      </x:c>
      <x:c r="E16" s="29" t="n">
        <x:v>1966</x:v>
      </x:c>
      <x:c r="F16" s="29" t="str">
        <x:v>Auroral electrojet activity index AE and its universal time variations</x:v>
      </x:c>
      <x:c r="G16" s="29" t="str">
        <x:v>Journal of Geophysical Research</x:v>
      </x:c>
      <x:c r="H16" s="29" t="str">
        <x:v>71(3)</x:v>
      </x:c>
      <x:c r="I16" s="29" t="str">
        <x:v>785–801</x:v>
      </x:c>
      <x:c r="J16" s="29" t="str">
        <x:v>10.1029/JZ071i003p00785</x:v>
      </x:c>
      <x:c r="K16" s="29" t="str">
        <x:v>University of Alaska / NASA / AGU</x:v>
      </x:c>
      <x:c r="L16" s="29" t="str">
        <x:v>United States</x:v>
      </x:c>
      <x:c r="M16" s="29" t="str">
        <x:v>https://agupubs.onlinelibrary.wiley.com/doi/abs/10.1029/JZ071i003p00785</x:v>
      </x:c>
      <x:c r="N16" s="29" t="str">
        <x:v>Davis, T. N., &amp; Sugiura, M. (1966). Auroral electrojet activity index AE and its universal time variations. Journal of Geophysical Research, 71(3), 785–801. https://doi.org/10.1029/JZ071i003p00785</x:v>
      </x:c>
      <x:c r="O16" s="29" t="str">
        <x:v>Physical interpretation of AE; global magnetic activity index, not communications loss.</x:v>
      </x:c>
      <x:c r="P16" s="29" t="str">
        <x:v>Publisher/author metadata and abstract checked</x:v>
      </x:c>
      <x:c r="Q16" s="29" t="str">
        <x:v>Candidate — full-text selection pending</x:v>
      </x:c>
      <x:c r="R16" s="29" t="str">
        <x:v>Verify citation formatting against DOI export</x:v>
      </x:c>
      <x:c r="S16" s="30" t="str">
        <x:v>N/A — supporting literature, not a 2022 observation file</x:v>
      </x:c>
    </x:row>
    <x:row r="17" ht="80" customHeight="1">
      <x:c r="A17" s="28" t="str">
        <x:v>L016</x:v>
      </x:c>
      <x:c r="B17" s="29" t="str">
        <x:v>2.4;2.6</x:v>
      </x:c>
      <x:c r="C17" s="29" t="str">
        <x:v>Journal article</x:v>
      </x:c>
      <x:c r="D17" s="29" t="str">
        <x:v>Wanliss, J. A.; Showalter, K. M.</x:v>
      </x:c>
      <x:c r="E17" s="29" t="n">
        <x:v>2006</x:v>
      </x:c>
      <x:c r="F17" s="29" t="str">
        <x:v>High-resolution global storm index: Dst versus SYM-H</x:v>
      </x:c>
      <x:c r="G17" s="29" t="str">
        <x:v>Journal of Geophysical Research: Space Physics</x:v>
      </x:c>
      <x:c r="H17" s="29" t="str">
        <x:v>111</x:v>
      </x:c>
      <x:c r="I17" s="29" t="str">
        <x:v>A02202</x:v>
      </x:c>
      <x:c r="J17" s="29" t="str">
        <x:v>10.1029/2005JA011034</x:v>
      </x:c>
      <x:c r="K17" s="29" t="str">
        <x:v>Authors / publisher</x:v>
      </x:c>
      <x:c r="L17" s="29" t="str">
        <x:v>See publication affiliations</x:v>
      </x:c>
      <x:c r="M17" s="29" t="str">
        <x:v>https://agupubs.onlinelibrary.wiley.com/doi/abs/10.1029/2005JA011034</x:v>
      </x:c>
      <x:c r="N17" s="29" t="str">
        <x:v>Wanliss, J. A., &amp; Showalter, K. M. (2006). High-resolution global storm index: Dst versus SYM-H. Journal of Geophysical Research: Space Physics, 111, A02202. https://doi.org/10.1029/2005JA011034</x:v>
      </x:c>
      <x:c r="O17" s="29" t="str">
        <x:v>Distinguishes one-minute SYM-H and hourly Dst; do not treat their cadences as interchangeable.</x:v>
      </x:c>
      <x:c r="P17" s="29" t="str">
        <x:v>Publisher/author metadata and abstract checked</x:v>
      </x:c>
      <x:c r="Q17" s="29" t="str">
        <x:v>Candidate — full-text selection pending</x:v>
      </x:c>
      <x:c r="R17" s="29" t="str">
        <x:v>Verify citation formatting against DOI export</x:v>
      </x:c>
      <x:c r="S17" s="30" t="str">
        <x:v>N/A — supporting literature, not a 2022 observation file</x:v>
      </x:c>
    </x:row>
    <x:row r="18" ht="80" customHeight="1">
      <x:c r="A18" s="28" t="str">
        <x:v>L017</x:v>
      </x:c>
      <x:c r="B18" s="29" t="str">
        <x:v>2.4;2.6</x:v>
      </x:c>
      <x:c r="C18" s="29" t="str">
        <x:v>Journal article</x:v>
      </x:c>
      <x:c r="D18" s="29" t="str">
        <x:v>McComas, D. J.; Bame, S. J.; Barker, P.; Feldman, W. C.; Phillips, J. L.; Riley, P.; Griffee, J. W.</x:v>
      </x:c>
      <x:c r="E18" s="29" t="n">
        <x:v>1998</x:v>
      </x:c>
      <x:c r="F18" s="29" t="str">
        <x:v>Solar Wind Electron Proton Alpha Monitor (SWEPAM) for the Advanced Composition Explorer</x:v>
      </x:c>
      <x:c r="G18" s="29" t="str">
        <x:v>Space Science Reviews</x:v>
      </x:c>
      <x:c r="H18" s="29" t="str">
        <x:v>86</x:v>
      </x:c>
      <x:c r="I18" s="29" t="str">
        <x:v>563–612</x:v>
      </x:c>
      <x:c r="J18" s="29" t="str">
        <x:v>10.1023/A:1005040232597</x:v>
      </x:c>
      <x:c r="K18" s="29" t="str">
        <x:v>Los Alamos / NASA / Springer</x:v>
      </x:c>
      <x:c r="L18" s="29" t="str">
        <x:v>United States</x:v>
      </x:c>
      <x:c r="M18" s="29" t="str">
        <x:v>https://collaborate.princeton.edu/en/publications/solar-wind-electron-proton-alpha-monitor-swepam-for-the-advanced-/</x:v>
      </x:c>
      <x:c r="N18" s="29" t="str">
        <x:v>McComas, D. J., Bame, S. J., Barker, P., Feldman, W. C., Phillips, J. L., Riley, P., &amp; Griffee, J. W. (1998). Solar Wind Electron Proton Alpha Monitor (SWEPAM) for the Advanced Composition Explorer. Space Science Reviews, 86, 563–612. https://doi.org/10.1023/A:1005040232597</x:v>
      </x:c>
      <x:c r="O18" s="29" t="str">
        <x:v>Solar-wind instrument, cadence and provenance behind part of OMNI. Advanced Composition Explorer is not the Praxis ACE acronym.</x:v>
      </x:c>
      <x:c r="P18" s="29" t="str">
        <x:v>Publisher/author metadata and abstract checked</x:v>
      </x:c>
      <x:c r="Q18" s="29" t="str">
        <x:v>Candidate — full-text selection pending</x:v>
      </x:c>
      <x:c r="R18" s="29" t="str">
        <x:v>Verify citation formatting against DOI export</x:v>
      </x:c>
      <x:c r="S18" s="30" t="str">
        <x:v>N/A — supporting literature, not a 2022 observation file</x:v>
      </x:c>
    </x:row>
    <x:row r="19" ht="80" customHeight="1">
      <x:c r="A19" s="28" t="str">
        <x:v>L018</x:v>
      </x:c>
      <x:c r="B19" s="29" t="str">
        <x:v>2.5;2.6;2.7</x:v>
      </x:c>
      <x:c r="C19" s="29" t="str">
        <x:v>Journal article</x:v>
      </x:c>
      <x:c r="D19" s="29" t="str">
        <x:v>Sargent, R. G.</x:v>
      </x:c>
      <x:c r="E19" s="29" t="n">
        <x:v>2013</x:v>
      </x:c>
      <x:c r="F19" s="29" t="str">
        <x:v>Verification and validation of simulation models</x:v>
      </x:c>
      <x:c r="G19" s="29" t="str">
        <x:v>Journal of Simulation</x:v>
      </x:c>
      <x:c r="H19" s="29" t="str">
        <x:v>7(1)</x:v>
      </x:c>
      <x:c r="I19" s="29" t="str">
        <x:v>12–24</x:v>
      </x:c>
      <x:c r="J19" s="29" t="str">
        <x:v>10.1057/jos.2012.20</x:v>
      </x:c>
      <x:c r="K19" s="29" t="str">
        <x:v>Syracuse University / Taylor &amp; Francis</x:v>
      </x:c>
      <x:c r="L19" s="29" t="str">
        <x:v>United States</x:v>
      </x:c>
      <x:c r="M19" s="29" t="str">
        <x:v>https://www.tandfonline.com/doi/abs/10.1057/jos.2012.20</x:v>
      </x:c>
      <x:c r="N19" s="29" t="str">
        <x:v>Sargent, R. G. (2013). Verification and validation of simulation models. Journal of Simulation, 7(1), 12–24. https://doi.org/10.1057/jos.2012.20</x:v>
      </x:c>
      <x:c r="O19" s="29" t="str">
        <x:v>Separate conceptual validity, software verification, data validity and operational validation.</x:v>
      </x:c>
      <x:c r="P19" s="29" t="str">
        <x:v>Publisher/author metadata and abstract checked</x:v>
      </x:c>
      <x:c r="Q19" s="29" t="str">
        <x:v>Candidate — full-text selection pending</x:v>
      </x:c>
      <x:c r="R19" s="29" t="str">
        <x:v>Verify citation formatting against DOI export</x:v>
      </x:c>
      <x:c r="S19" s="30" t="str">
        <x:v>N/A — supporting literature, not a 2022 observation file</x:v>
      </x:c>
    </x:row>
    <x:row r="20" ht="80" customHeight="1">
      <x:c r="A20" s="28" t="str">
        <x:v>L019</x:v>
      </x:c>
      <x:c r="B20" s="29" t="str">
        <x:v>2.5;2.7</x:v>
      </x:c>
      <x:c r="C20" s="29" t="str">
        <x:v>Journal article</x:v>
      </x:c>
      <x:c r="D20" s="29" t="str">
        <x:v>Robinson, S.</x:v>
      </x:c>
      <x:c r="E20" s="29" t="n">
        <x:v>2008</x:v>
      </x:c>
      <x:c r="F20" s="29" t="str">
        <x:v>Conceptual modelling for simulation Part I: Definition and requirements</x:v>
      </x:c>
      <x:c r="G20" s="29" t="str">
        <x:v>Journal of the Operational Research Society</x:v>
      </x:c>
      <x:c r="H20" s="29" t="str">
        <x:v>59(3)</x:v>
      </x:c>
      <x:c r="I20" s="29" t="str">
        <x:v>278–290</x:v>
      </x:c>
      <x:c r="J20" s="29" t="str">
        <x:v>10.1057/palgrave.jors.2602368</x:v>
      </x:c>
      <x:c r="K20" s="29" t="str">
        <x:v>University of Warwick / Taylor &amp; Francis</x:v>
      </x:c>
      <x:c r="L20" s="29" t="str">
        <x:v>United Kingdom</x:v>
      </x:c>
      <x:c r="M20" s="29" t="str">
        <x:v>https://www.tandfonline.com/doi/abs/10.1057/palgrave.jors.2602368</x:v>
      </x:c>
      <x:c r="N20" s="29" t="str">
        <x:v>Robinson, S. (2008). Conceptual modelling for simulation Part I: Definition and requirements. Journal of the Operational Research Society, 59(3), 278–290. https://doi.org/10.1057/palgrave.jors.2602368</x:v>
      </x:c>
      <x:c r="O20" s="29" t="str">
        <x:v>Validity, credibility, utility, feasibility and simplest sufficient model; helps keep scope bounded.</x:v>
      </x:c>
      <x:c r="P20" s="29" t="str">
        <x:v>Publisher/author metadata and abstract checked</x:v>
      </x:c>
      <x:c r="Q20" s="29" t="str">
        <x:v>Candidate — full-text selection pending</x:v>
      </x:c>
      <x:c r="R20" s="29" t="str">
        <x:v>Verify citation formatting against DOI export</x:v>
      </x:c>
      <x:c r="S20" s="30" t="str">
        <x:v>N/A — supporting literature, not a 2022 observation file</x:v>
      </x:c>
    </x:row>
    <x:row r="21" ht="80" customHeight="1">
      <x:c r="A21" s="28" t="str">
        <x:v>L020</x:v>
      </x:c>
      <x:c r="B21" s="29" t="str">
        <x:v>2.5;2.6</x:v>
      </x:c>
      <x:c r="C21" s="29" t="str">
        <x:v>Journal article</x:v>
      </x:c>
      <x:c r="D21" s="29" t="str">
        <x:v>Robinson, S.</x:v>
      </x:c>
      <x:c r="E21" s="29" t="n">
        <x:v>2008</x:v>
      </x:c>
      <x:c r="F21" s="29" t="str">
        <x:v>Conceptual modelling for simulation Part II: A framework for conceptual modelling</x:v>
      </x:c>
      <x:c r="G21" s="29" t="str">
        <x:v>Journal of the Operational Research Society</x:v>
      </x:c>
      <x:c r="H21" s="29" t="str">
        <x:v>59(3)</x:v>
      </x:c>
      <x:c r="I21" s="29" t="str">
        <x:v>291–304</x:v>
      </x:c>
      <x:c r="J21" s="29" t="str">
        <x:v>10.1057/palgrave.jors.2602369</x:v>
      </x:c>
      <x:c r="K21" s="29" t="str">
        <x:v>University of Warwick / Taylor &amp; Francis</x:v>
      </x:c>
      <x:c r="L21" s="29" t="str">
        <x:v>United Kingdom</x:v>
      </x:c>
      <x:c r="M21" s="29" t="str">
        <x:v>https://www.tandfonline.com/doi/abs/10.1057/palgrave.jors.2602369</x:v>
      </x:c>
      <x:c r="N21" s="29" t="str">
        <x:v>Robinson, S. (2008). Conceptual modelling for simulation Part II: A framework for conceptual modelling. Journal of the Operational Research Society, 59(3), 291–304. https://doi.org/10.1057/palgrave.jors.2602369</x:v>
      </x:c>
      <x:c r="O21" s="29" t="str">
        <x:v>Problem-to-objectives-to-inputs/outputs workflow. Distinct application framework, not duplicate of Part I.</x:v>
      </x:c>
      <x:c r="P21" s="29" t="str">
        <x:v>Publisher/author metadata and abstract checked</x:v>
      </x:c>
      <x:c r="Q21" s="29" t="str">
        <x:v>Candidate — full-text selection pending</x:v>
      </x:c>
      <x:c r="R21" s="29" t="str">
        <x:v>Verify citation formatting against DOI export</x:v>
      </x:c>
      <x:c r="S21" s="30" t="str">
        <x:v>N/A — supporting literature, not a 2022 observation file</x:v>
      </x:c>
    </x:row>
    <x:row r="22" ht="80" customHeight="1">
      <x:c r="A22" s="28" t="str">
        <x:v>L021</x:v>
      </x:c>
      <x:c r="B22" s="29" t="str">
        <x:v>2.5;2.7</x:v>
      </x:c>
      <x:c r="C22" s="29" t="str">
        <x:v>Journal article</x:v>
      </x:c>
      <x:c r="D22" s="29" t="str">
        <x:v>Kleijnen, J. P. C.</x:v>
      </x:c>
      <x:c r="E22" s="29" t="n">
        <x:v>1995</x:v>
      </x:c>
      <x:c r="F22" s="29" t="str">
        <x:v>Verification and validation of simulation models</x:v>
      </x:c>
      <x:c r="G22" s="29" t="str">
        <x:v>European Journal of Operational Research</x:v>
      </x:c>
      <x:c r="H22" s="29" t="str">
        <x:v>82(1)</x:v>
      </x:c>
      <x:c r="I22" s="29" t="str">
        <x:v>145–162</x:v>
      </x:c>
      <x:c r="J22" s="29" t="str">
        <x:v>10.1016/0377-2217(94)00016-6</x:v>
      </x:c>
      <x:c r="K22" s="29" t="str">
        <x:v>Tilburg University / Elsevier</x:v>
      </x:c>
      <x:c r="L22" s="29" t="str">
        <x:v>Netherlands</x:v>
      </x:c>
      <x:c r="M22" s="29" t="str">
        <x:v>https://www.sciencedirect.com/science/article/pii/0377221794000166</x:v>
      </x:c>
      <x:c r="N22" s="29" t="str">
        <x:v>Kleijnen, J. P. C. (1995). Verification and validation of simulation models. European Journal of Operational Research, 82(1), 145–162. https://doi.org/10.1016/0377-2217(94)00016-6</x:v>
      </x:c>
      <x:c r="O22" s="29" t="str">
        <x:v>Trace modules, compare with analytic results, validate against observations and perform sensitivity analysis.</x:v>
      </x:c>
      <x:c r="P22" s="29" t="str">
        <x:v>Publisher/author metadata and abstract checked</x:v>
      </x:c>
      <x:c r="Q22" s="29" t="str">
        <x:v>Candidate — full-text selection pending</x:v>
      </x:c>
      <x:c r="R22" s="29" t="str">
        <x:v>Verify citation formatting against DOI export</x:v>
      </x:c>
      <x:c r="S22" s="30" t="str">
        <x:v>N/A — supporting literature, not a 2022 observation file</x:v>
      </x:c>
    </x:row>
    <x:row r="23" ht="80" customHeight="1">
      <x:c r="A23" s="28" t="str">
        <x:v>L022</x:v>
      </x:c>
      <x:c r="B23" s="29" t="str">
        <x:v>2.5</x:v>
      </x:c>
      <x:c r="C23" s="29" t="str">
        <x:v>Journal article</x:v>
      </x:c>
      <x:c r="D23" s="29" t="str">
        <x:v>Little, J. D. C.</x:v>
      </x:c>
      <x:c r="E23" s="29" t="n">
        <x:v>1961</x:v>
      </x:c>
      <x:c r="F23" s="29" t="str">
        <x:v>A proof for the queuing formula: L = λW</x:v>
      </x:c>
      <x:c r="G23" s="29" t="str">
        <x:v>Operations Research</x:v>
      </x:c>
      <x:c r="H23" s="29" t="str">
        <x:v>9(3)</x:v>
      </x:c>
      <x:c r="I23" s="29" t="str">
        <x:v>383–387</x:v>
      </x:c>
      <x:c r="J23" s="29" t="str">
        <x:v>10.1287/opre.9.3.383</x:v>
      </x:c>
      <x:c r="K23" s="29" t="str">
        <x:v>Case Institute of Technology / INFORMS</x:v>
      </x:c>
      <x:c r="L23" s="29" t="str">
        <x:v>United States</x:v>
      </x:c>
      <x:c r="M23" s="29" t="str">
        <x:v>https://pubsonline.informs.org/doi/abs/10.1287/opre.9.3.383</x:v>
      </x:c>
      <x:c r="N23" s="29" t="str">
        <x:v>Little, J. D. C. (1961). A proof for the queuing formula: L = λW. Operations Research, 9(3), 383–387. https://doi.org/10.1287/opre.9.3.383</x:v>
      </x:c>
      <x:c r="O23" s="29" t="str">
        <x:v>Queue occupancy, arrival rate and time sanity check under applicable conditions; not an outage-transient prediction by itself.</x:v>
      </x:c>
      <x:c r="P23" s="29" t="str">
        <x:v>Publisher/author metadata and abstract checked</x:v>
      </x:c>
      <x:c r="Q23" s="29" t="str">
        <x:v>Candidate — full-text selection pending</x:v>
      </x:c>
      <x:c r="R23" s="29" t="str">
        <x:v>Verify citation formatting against DOI export</x:v>
      </x:c>
      <x:c r="S23" s="30" t="str">
        <x:v>N/A — supporting literature, not a 2022 observation file</x:v>
      </x:c>
    </x:row>
    <x:row r="24" ht="80" customHeight="1">
      <x:c r="A24" s="28" t="str">
        <x:v>L023</x:v>
      </x:c>
      <x:c r="B24" s="29" t="str">
        <x:v>2.5</x:v>
      </x:c>
      <x:c r="C24" s="29" t="str">
        <x:v>Journal article</x:v>
      </x:c>
      <x:c r="D24" s="29" t="str">
        <x:v>Lindley, D. V.</x:v>
      </x:c>
      <x:c r="E24" s="29" t="n">
        <x:v>1952</x:v>
      </x:c>
      <x:c r="F24" s="29" t="str">
        <x:v>The theory of queues with a single server</x:v>
      </x:c>
      <x:c r="G24" s="29" t="str">
        <x:v>Mathematical Proceedings of the Cambridge Philosophical Society</x:v>
      </x:c>
      <x:c r="H24" s="29" t="str">
        <x:v>48(2)</x:v>
      </x:c>
      <x:c r="I24" s="29" t="str">
        <x:v>277–289</x:v>
      </x:c>
      <x:c r="J24" s="29" t="str">
        <x:v>10.1017/S0305004100027638</x:v>
      </x:c>
      <x:c r="K24" s="29" t="str">
        <x:v>University of Cambridge / Cambridge University Press</x:v>
      </x:c>
      <x:c r="L24" s="29" t="str">
        <x:v>United Kingdom</x:v>
      </x:c>
      <x:c r="M24" s="29" t="str">
        <x:v>https://www.cambridge.org/core/journals/mathematical-proceedings-of-the-cambridge-philosophical-society/article/abs/theory-of-queues-with-a-single-server/53E80E039A02BCCC909E5C1D3BBC1AD1</x:v>
      </x:c>
      <x:c r="N24" s="29" t="str">
        <x:v>Lindley, D. V. (1952). The theory of queues with a single server. Mathematical Proceedings of the Cambridge Philosophical Society, 48(2), 277–289. https://doi.org/10.1017/S0305004100027638</x:v>
      </x:c>
      <x:c r="O24" s="29" t="str">
        <x:v>Queue waiting-time foundation; simple service recurrence must be extended for unavailable links.</x:v>
      </x:c>
      <x:c r="P24" s="29" t="str">
        <x:v>Publisher/author metadata and abstract checked</x:v>
      </x:c>
      <x:c r="Q24" s="29" t="str">
        <x:v>Candidate — full-text selection pending</x:v>
      </x:c>
      <x:c r="R24" s="29" t="str">
        <x:v>Verify citation formatting against DOI export</x:v>
      </x:c>
      <x:c r="S24" s="30" t="str">
        <x:v>N/A — supporting literature, not a 2022 observation file</x:v>
      </x:c>
    </x:row>
    <x:row r="25" ht="80" customHeight="1">
      <x:c r="A25" s="28" t="str">
        <x:v>L024</x:v>
      </x:c>
      <x:c r="B25" s="29" t="str">
        <x:v>2.5</x:v>
      </x:c>
      <x:c r="C25" s="29" t="str">
        <x:v>Journal article</x:v>
      </x:c>
      <x:c r="D25" s="29" t="str">
        <x:v>Sobol′, I. M.</x:v>
      </x:c>
      <x:c r="E25" s="29" t="n">
        <x:v>2001</x:v>
      </x:c>
      <x:c r="F25" s="29" t="str">
        <x:v>Global sensitivity indices for nonlinear mathematical models and their Monte Carlo estimates</x:v>
      </x:c>
      <x:c r="G25" s="29" t="str">
        <x:v>Mathematics and Computers in Simulation</x:v>
      </x:c>
      <x:c r="H25" s="29" t="str">
        <x:v>55(1–3)</x:v>
      </x:c>
      <x:c r="I25" s="29" t="str">
        <x:v>271–280</x:v>
      </x:c>
      <x:c r="J25" s="29" t="str">
        <x:v>10.1016/S0378-4754(00)00270-6</x:v>
      </x:c>
      <x:c r="K25" s="29" t="str">
        <x:v>Author / Elsevier</x:v>
      </x:c>
      <x:c r="L25" s="29" t="str">
        <x:v>Russia</x:v>
      </x:c>
      <x:c r="M25" s="29" t="str">
        <x:v>https://www.sciencedirect.com/science/article/pii/S0378475400002706</x:v>
      </x:c>
      <x:c r="N25" s="29" t="str">
        <x:v>Sobol′, I. M. (2001). Global sensitivity indices for nonlinear mathematical models and their Monte Carlo estimates. Mathematics and Computers in Simulation, 55(1–3), 271–280. https://doi.org/10.1016/S0378-4754(00)00270-6</x:v>
      </x:c>
      <x:c r="O25" s="29" t="str">
        <x:v>Global sensitivity of parameters and interactions; input dependence and sampling assumptions require explicit treatment.</x:v>
      </x:c>
      <x:c r="P25" s="29" t="str">
        <x:v>Publisher/author metadata and abstract checked</x:v>
      </x:c>
      <x:c r="Q25" s="29" t="str">
        <x:v>Candidate — full-text selection pending</x:v>
      </x:c>
      <x:c r="R25" s="29" t="str">
        <x:v>Verify citation formatting against DOI export</x:v>
      </x:c>
      <x:c r="S25" s="30" t="str">
        <x:v>N/A — supporting literature, not a 2022 observation file</x:v>
      </x:c>
    </x:row>
    <x:row r="26" ht="80" customHeight="1">
      <x:c r="A26" s="28" t="str">
        <x:v>L025</x:v>
      </x:c>
      <x:c r="B26" s="29" t="str">
        <x:v>2.5</x:v>
      </x:c>
      <x:c r="C26" s="29" t="str">
        <x:v>Journal article</x:v>
      </x:c>
      <x:c r="D26" s="29" t="str">
        <x:v>Homma, T.; Saltelli, A.</x:v>
      </x:c>
      <x:c r="E26" s="29" t="n">
        <x:v>1996</x:v>
      </x:c>
      <x:c r="F26" s="29" t="str">
        <x:v>Importance measures in global sensitivity analysis of nonlinear models</x:v>
      </x:c>
      <x:c r="G26" s="29" t="str">
        <x:v>Reliability Engineering &amp; System Safety</x:v>
      </x:c>
      <x:c r="H26" s="29" t="str">
        <x:v>52(1)</x:v>
      </x:c>
      <x:c r="I26" s="29" t="str">
        <x:v>1–17</x:v>
      </x:c>
      <x:c r="J26" s="29" t="str">
        <x:v>10.1016/0951-8320(96)00002-6</x:v>
      </x:c>
      <x:c r="K26" s="29" t="str">
        <x:v>Authors / Elsevier</x:v>
      </x:c>
      <x:c r="L26" s="29" t="str">
        <x:v>Japan; Italy</x:v>
      </x:c>
      <x:c r="M26" s="29" t="str">
        <x:v>https://www.sciencedirect.com/science/article/pii/0951832096000026</x:v>
      </x:c>
      <x:c r="N26" s="29" t="str">
        <x:v>Homma, T., &amp; Saltelli, A. (1996). Importance measures in global sensitivity analysis of nonlinear models. Reliability Engineering &amp; System Safety, 52(1), 1–17. https://doi.org/10.1016/0951-8320(96)00002-6</x:v>
      </x:c>
      <x:c r="O26" s="29" t="str">
        <x:v>Total-effect sensitivity including interactions; supports a neutral trade study.</x:v>
      </x:c>
      <x:c r="P26" s="29" t="str">
        <x:v>Publisher/author metadata and abstract checked</x:v>
      </x:c>
      <x:c r="Q26" s="29" t="str">
        <x:v>Candidate — full-text selection pending</x:v>
      </x:c>
      <x:c r="R26" s="29" t="str">
        <x:v>Verify citation formatting against DOI export</x:v>
      </x:c>
      <x:c r="S26" s="30" t="str">
        <x:v>N/A — supporting literature, not a 2022 observation file</x:v>
      </x:c>
    </x:row>
    <x:row r="27" ht="80" customHeight="1">
      <x:c r="A27" s="28" t="str">
        <x:v>L026</x:v>
      </x:c>
      <x:c r="B27" s="29" t="str">
        <x:v>2.3;2.6;2.7</x:v>
      </x:c>
      <x:c r="C27" s="29" t="str">
        <x:v>Journal article</x:v>
      </x:c>
      <x:c r="D27" s="29" t="str">
        <x:v>Castanedo, F.</x:v>
      </x:c>
      <x:c r="E27" s="29" t="n">
        <x:v>2013</x:v>
      </x:c>
      <x:c r="F27" s="29" t="str">
        <x:v>A review of data fusion techniques</x:v>
      </x:c>
      <x:c r="G27" s="29" t="str">
        <x:v>The Scientific World Journal</x:v>
      </x:c>
      <x:c r="H27" s="29" t="str">
        <x:v>2013</x:v>
      </x:c>
      <x:c r="I27" s="29" t="str">
        <x:v>704504</x:v>
      </x:c>
      <x:c r="J27" s="29" t="str">
        <x:v>10.1155/2013/704504</x:v>
      </x:c>
      <x:c r="K27" s="29" t="str">
        <x:v>Author / Wiley</x:v>
      </x:c>
      <x:c r="L27" s="29" t="str">
        <x:v>Spain</x:v>
      </x:c>
      <x:c r="M27" s="29" t="str">
        <x:v>https://onlinelibrary.wiley.com/doi/10.1155/2013/704504</x:v>
      </x:c>
      <x:c r="N27" s="29" t="str">
        <x:v>Castanedo, F. (2013). A review of data fusion techniques. The Scientific World Journal, 2013, 704504. https://doi.org/10.1155/2013/704504</x:v>
      </x:c>
      <x:c r="O27" s="29" t="str">
        <x:v>Data association, fusion architectures and computational/communications costs. Do not assume more inputs automatically improve accuracy.</x:v>
      </x:c>
      <x:c r="P27" s="29" t="str">
        <x:v>Publisher/author metadata and abstract checked</x:v>
      </x:c>
      <x:c r="Q27" s="29" t="str">
        <x:v>Candidate — full-text selection pending</x:v>
      </x:c>
      <x:c r="R27" s="29" t="str">
        <x:v>Verify citation formatting against DOI export</x:v>
      </x:c>
      <x:c r="S27" s="30" t="str">
        <x:v>N/A — supporting literature, not a 2022 observation file</x:v>
      </x:c>
    </x:row>
    <x:row r="28" ht="80" customHeight="1">
      <x:c r="A28" s="28" t="str">
        <x:v>L027</x:v>
      </x:c>
      <x:c r="B28" s="29" t="str">
        <x:v>2.6;2.7</x:v>
      </x:c>
      <x:c r="C28" s="29" t="str">
        <x:v>Journal article</x:v>
      </x:c>
      <x:c r="D28" s="29" t="str">
        <x:v>Khaleghi, B.; Khamis, A.; Karray, F. O.; Razavi, S. N.</x:v>
      </x:c>
      <x:c r="E28" s="29" t="n">
        <x:v>2013</x:v>
      </x:c>
      <x:c r="F28" s="29" t="str">
        <x:v>Multisensor data fusion: A review of the state-of-the-art</x:v>
      </x:c>
      <x:c r="G28" s="29" t="str">
        <x:v>Information Fusion</x:v>
      </x:c>
      <x:c r="H28" s="29" t="str">
        <x:v>14(1)</x:v>
      </x:c>
      <x:c r="I28" s="29" t="str">
        <x:v>28–44</x:v>
      </x:c>
      <x:c r="J28" s="29" t="str">
        <x:v>10.1016/j.inffus.2011.08.001</x:v>
      </x:c>
      <x:c r="K28" s="29" t="str">
        <x:v>University of Waterloo / McMaster University / Elsevier</x:v>
      </x:c>
      <x:c r="L28" s="29" t="str">
        <x:v>Canada</x:v>
      </x:c>
      <x:c r="M28" s="29" t="str">
        <x:v>https://www.sciencedirect.com/science/article/abs/pii/S1566253511000558</x:v>
      </x:c>
      <x:c r="N28" s="29" t="str">
        <x:v>Khaleghi, B., Khamis, A., Karray, F. O., &amp; Razavi, S. N. (2013). Multisensor data fusion: A review of the state-of-the-art. Information Fusion, 14(1), 28–44. https://doi.org/10.1016/j.inffus.2011.08.001</x:v>
      </x:c>
      <x:c r="O28" s="29" t="str">
        <x:v>Fusion concepts, uncertainty and heterogeneity; use for input quality/association justification.</x:v>
      </x:c>
      <x:c r="P28" s="29" t="str">
        <x:v>Publisher/author metadata and abstract checked</x:v>
      </x:c>
      <x:c r="Q28" s="29" t="str">
        <x:v>Candidate — full-text selection pending</x:v>
      </x:c>
      <x:c r="R28" s="29" t="str">
        <x:v>Verify citation formatting against DOI export</x:v>
      </x:c>
      <x:c r="S28" s="30" t="str">
        <x:v>N/A — supporting literature, not a 2022 observation file</x:v>
      </x:c>
    </x:row>
    <x:row r="29" ht="80" customHeight="1">
      <x:c r="A29" s="28" t="str">
        <x:v>L028</x:v>
      </x:c>
      <x:c r="B29" s="29" t="str">
        <x:v>2.6;2.7</x:v>
      </x:c>
      <x:c r="C29" s="29" t="str">
        <x:v>Journal article</x:v>
      </x:c>
      <x:c r="D29" s="29" t="str">
        <x:v>Lahat, D.; Adalı, T.; Jutten, C.</x:v>
      </x:c>
      <x:c r="E29" s="29" t="n">
        <x:v>2015</x:v>
      </x:c>
      <x:c r="F29" s="29" t="str">
        <x:v>Multimodal data fusion: An overview of methods, challenges, and prospects</x:v>
      </x:c>
      <x:c r="G29" s="29" t="str">
        <x:v>Proceedings of the IEEE</x:v>
      </x:c>
      <x:c r="H29" s="29" t="str">
        <x:v>103(9)</x:v>
      </x:c>
      <x:c r="I29" s="29" t="str">
        <x:v>1449–1477</x:v>
      </x:c>
      <x:c r="J29" s="29" t="str">
        <x:v>10.1109/JPROC.2015.2460697</x:v>
      </x:c>
      <x:c r="K29" s="29" t="str">
        <x:v>CNRS / UMBC / Grenoble / IEEE</x:v>
      </x:c>
      <x:c r="L29" s="29" t="str">
        <x:v>France; United States</x:v>
      </x:c>
      <x:c r="M29" s="29" t="str">
        <x:v>https://dblp.org/rec/journals/pieee/LahatAJ15.html</x:v>
      </x:c>
      <x:c r="N29" s="29" t="str">
        <x:v>Lahat, D., Adalı, T., &amp; Jutten, C. (2015). Multimodal data fusion: An overview of methods, challenges, and prospects. Proceedings of the IEEE, 103(9), 1449–1477. https://doi.org/10.1109/JPROC.2015.2460697</x:v>
      </x:c>
      <x:c r="O29" s="29" t="str">
        <x:v>Multiple modalities of a system, diversity and fusion assumptions.</x:v>
      </x:c>
      <x:c r="P29" s="29" t="str">
        <x:v>Bibliographic identity checked; publisher/author full text to read</x:v>
      </x:c>
      <x:c r="Q29" s="29" t="str">
        <x:v>Candidate — full-text selection pending</x:v>
      </x:c>
      <x:c r="R29" s="29" t="str">
        <x:v>Verify citation formatting against DOI export</x:v>
      </x:c>
      <x:c r="S29" s="30" t="str">
        <x:v>N/A — supporting literature, not a 2022 observation file</x:v>
      </x:c>
    </x:row>
    <x:row r="30" ht="80" customHeight="1">
      <x:c r="A30" s="28" t="str">
        <x:v>L029</x:v>
      </x:c>
      <x:c r="B30" s="29" t="str">
        <x:v>2.3;2.6</x:v>
      </x:c>
      <x:c r="C30" s="29" t="str">
        <x:v>Journal article</x:v>
      </x:c>
      <x:c r="D30" s="29" t="str">
        <x:v>Chandola, V.; Banerjee, A.; Kumar, V.</x:v>
      </x:c>
      <x:c r="E30" s="29" t="n">
        <x:v>2009</x:v>
      </x:c>
      <x:c r="F30" s="29" t="str">
        <x:v>Anomaly detection: A survey</x:v>
      </x:c>
      <x:c r="G30" s="29" t="str">
        <x:v>ACM Computing Surveys</x:v>
      </x:c>
      <x:c r="H30" s="29" t="str">
        <x:v>41(3)</x:v>
      </x:c>
      <x:c r="I30" s="29" t="str">
        <x:v>Article 15</x:v>
      </x:c>
      <x:c r="J30" s="29" t="str">
        <x:v>10.1145/1541880.1541882</x:v>
      </x:c>
      <x:c r="K30" s="29" t="str">
        <x:v>University of Minnesota / ACM</x:v>
      </x:c>
      <x:c r="L30" s="29" t="str">
        <x:v>United States</x:v>
      </x:c>
      <x:c r="M30" s="29" t="str">
        <x:v>https://experts.umn.edu/en/publications/anomaly-detection-a-survey/</x:v>
      </x:c>
      <x:c r="N30" s="29" t="str">
        <x:v>Chandola, V., Banerjee, A., &amp; Kumar, V. (2009). Anomaly detection: A survey. ACM Computing Surveys, 41(3), Article 15. https://doi.org/10.1145/1541880.1541882</x:v>
      </x:c>
      <x:c r="O30" s="29" t="str">
        <x:v>Anomaly-label semantics and algorithm assumptions. Anomaly is not evidence of a solar-caused radio outage.</x:v>
      </x:c>
      <x:c r="P30" s="29" t="str">
        <x:v>Publisher/author metadata and abstract checked</x:v>
      </x:c>
      <x:c r="Q30" s="29" t="str">
        <x:v>Candidate — full-text selection pending</x:v>
      </x:c>
      <x:c r="R30" s="29" t="str">
        <x:v>Verify citation formatting against DOI export</x:v>
      </x:c>
      <x:c r="S30" s="30" t="str">
        <x:v>N/A — supporting literature, not a 2022 observation file</x:v>
      </x:c>
    </x:row>
    <x:row r="31" ht="80" customHeight="1">
      <x:c r="A31" s="28" t="str">
        <x:v>L030</x:v>
      </x:c>
      <x:c r="B31" s="29" t="str">
        <x:v>2.3;2.6</x:v>
      </x:c>
      <x:c r="C31" s="29" t="str">
        <x:v>Journal article</x:v>
      </x:c>
      <x:c r="D31" s="29" t="str">
        <x:v>Ruff, L.; Kauffmann, J. R.; Vandermeulen, R. A.; Montavon, G.; Samek, W.; Kloft, M.; Dietterich, T. G.; Müller, K.-R.</x:v>
      </x:c>
      <x:c r="E31" s="29" t="n">
        <x:v>2021</x:v>
      </x:c>
      <x:c r="F31" s="29" t="str">
        <x:v>A unifying review of deep and shallow anomaly detection</x:v>
      </x:c>
      <x:c r="G31" s="29" t="str">
        <x:v>Proceedings of the IEEE</x:v>
      </x:c>
      <x:c r="H31" s="29" t="str">
        <x:v>109(5)</x:v>
      </x:c>
      <x:c r="I31" s="29" t="str">
        <x:v>756–795</x:v>
      </x:c>
      <x:c r="J31" s="29" t="str">
        <x:v>10.1109/JPROC.2021.3052449</x:v>
      </x:c>
      <x:c r="K31" s="29" t="str">
        <x:v>Authors / IEEE</x:v>
      </x:c>
      <x:c r="L31" s="29" t="str">
        <x:v>Germany; United States; international</x:v>
      </x:c>
      <x:c r="M31" s="29" t="str">
        <x:v>https://proceedingsoftheieee.ieee.org/a-unifying-review-of-deep-and-shallow-anomaly-detection/</x:v>
      </x:c>
      <x:c r="N31" s="29" t="str">
        <x:v>Ruff, L., Kauffmann, J. R., Vandermeulen, R. A., Montavon, G., Samek, W., Kloft, M., Dietterich, T. G., &amp; Müller, K.-R. (2021). A unifying review of deep and shallow anomaly detection. Proceedings of the IEEE, 109(5), 756–795. https://doi.org/10.1109/JPROC.2021.3052449</x:v>
      </x:c>
      <x:c r="O31" s="29" t="str">
        <x:v>Model assumptions, detection validation and interpretability; not direct onboard-runtime measurements.</x:v>
      </x:c>
      <x:c r="P31" s="29" t="str">
        <x:v>Publisher/author metadata and abstract checked</x:v>
      </x:c>
      <x:c r="Q31" s="29" t="str">
        <x:v>Candidate — full-text selection pending</x:v>
      </x:c>
      <x:c r="R31" s="29" t="str">
        <x:v>Verify citation formatting against DOI export</x:v>
      </x:c>
      <x:c r="S31" s="30" t="str">
        <x:v>N/A — supporting literature, not a 2022 observation file</x:v>
      </x:c>
    </x:row>
    <x:row r="32" ht="80" customHeight="1">
      <x:c r="A32" s="28" t="str">
        <x:v>L031</x:v>
      </x:c>
      <x:c r="B32" s="29" t="str">
        <x:v>2.4;2.6</x:v>
      </x:c>
      <x:c r="C32" s="29" t="str">
        <x:v>Journal article</x:v>
      </x:c>
      <x:c r="D32" s="29" t="str">
        <x:v>Reinisch, B. W.; Galkin, I. A.</x:v>
      </x:c>
      <x:c r="E32" s="29" t="n">
        <x:v>2011</x:v>
      </x:c>
      <x:c r="F32" s="29" t="str">
        <x:v>Global Ionospheric Radio Observatory (GIRO)</x:v>
      </x:c>
      <x:c r="G32" s="29" t="str">
        <x:v>Earth, Planets and Space</x:v>
      </x:c>
      <x:c r="H32" s="29" t="str">
        <x:v>63</x:v>
      </x:c>
      <x:c r="I32" s="29" t="str">
        <x:v>377–381</x:v>
      </x:c>
      <x:c r="J32" s="29" t="str">
        <x:v>10.5047/eps.2011.03.001</x:v>
      </x:c>
      <x:c r="K32" s="29" t="str">
        <x:v>UMass Lowell / Lowell Digisonde International</x:v>
      </x:c>
      <x:c r="L32" s="29" t="str">
        <x:v>USA / international station network</x:v>
      </x:c>
      <x:c r="M32" s="29" t="str">
        <x:v>https://link.springer.com/article/10.5047/eps.2011.03.001</x:v>
      </x:c>
      <x:c r="N32" s="29" t="str">
        <x:v>Reinisch, B. W., &amp; Galkin, I. A. (2011). Global Ionospheric Radio Observatory (GIRO). Earth, Planets and Space, 63, 377–381. https://doi.org/10.5047/eps.2011.03.001</x:v>
      </x:c>
      <x:c r="O32" s="29" t="str">
        <x:v>Ionosonde data provenance, station coverage and data assimilation. Station/time and path geometry still need testing.</x:v>
      </x:c>
      <x:c r="P32" s="29" t="str">
        <x:v>Publisher/author metadata and abstract checked</x:v>
      </x:c>
      <x:c r="Q32" s="29" t="str">
        <x:v>Candidate — full-text selection pending</x:v>
      </x:c>
      <x:c r="R32" s="29" t="str">
        <x:v>Verify citation formatting against DOI export</x:v>
      </x:c>
      <x:c r="S32" s="30" t="str">
        <x:v>N/A — supporting literature, not a 2022 observation file</x:v>
      </x:c>
    </x:row>
    <x:row r="33" ht="80" customHeight="1">
      <x:c r="A33" s="28" t="str">
        <x:v>L032</x:v>
      </x:c>
      <x:c r="B33" s="29" t="str">
        <x:v>2.4;2.6</x:v>
      </x:c>
      <x:c r="C33" s="29" t="str">
        <x:v>Journal article</x:v>
      </x:c>
      <x:c r="D33" s="29" t="str">
        <x:v>Gjerloev, J. W.</x:v>
      </x:c>
      <x:c r="E33" s="29" t="n">
        <x:v>2012</x:v>
      </x:c>
      <x:c r="F33" s="29" t="str">
        <x:v>The SuperMAG data processing technique</x:v>
      </x:c>
      <x:c r="G33" s="29" t="str">
        <x:v>Journal of Geophysical Research: Space Physics</x:v>
      </x:c>
      <x:c r="H33" s="29" t="str">
        <x:v>117</x:v>
      </x:c>
      <x:c r="I33" s="29" t="str">
        <x:v>A09213</x:v>
      </x:c>
      <x:c r="J33" s="29" t="str">
        <x:v>10.1029/2012JA017683</x:v>
      </x:c>
      <x:c r="K33" s="29" t="str">
        <x:v>JHU Applied Physics Laboratory / SuperMAG</x:v>
      </x:c>
      <x:c r="L33" s="29" t="str">
        <x:v>USA / international network</x:v>
      </x:c>
      <x:c r="M33" s="29" t="str">
        <x:v>https://agupubs.onlinelibrary.wiley.com/doi/abs/10.1029/2012JA017683</x:v>
      </x:c>
      <x:c r="N33" s="29" t="str">
        <x:v>Gjerloev, J. W. (2012). The SuperMAG data processing technique. Journal of Geophysical Research: Space Physics, 117, A09213. https://doi.org/10.1029/2012JA017683</x:v>
      </x:c>
      <x:c r="O33" s="29" t="str">
        <x:v>Uniform magnetic processing, coordinates and baselines; does not transform magnetometer readings into packet loss.</x:v>
      </x:c>
      <x:c r="P33" s="29" t="str">
        <x:v>Publisher/author metadata and abstract checked</x:v>
      </x:c>
      <x:c r="Q33" s="29" t="str">
        <x:v>Candidate — full-text selection pending</x:v>
      </x:c>
      <x:c r="R33" s="29" t="str">
        <x:v>Verify citation formatting against DOI export</x:v>
      </x:c>
      <x:c r="S33" s="30" t="str">
        <x:v>N/A — supporting literature, not a 2022 observation file</x:v>
      </x:c>
    </x:row>
    <x:row r="34" ht="80" customHeight="1">
      <x:c r="A34" s="28" t="str">
        <x:v>L033</x:v>
      </x:c>
      <x:c r="B34" s="29" t="str">
        <x:v>2.4;2.6</x:v>
      </x:c>
      <x:c r="C34" s="29" t="str">
        <x:v>Journal article</x:v>
      </x:c>
      <x:c r="D34" s="29" t="str">
        <x:v>Rideout, W.; Coster, A.</x:v>
      </x:c>
      <x:c r="E34" s="29" t="n">
        <x:v>2006</x:v>
      </x:c>
      <x:c r="F34" s="29" t="str">
        <x:v>Automated GPS processing for global total electron content data</x:v>
      </x:c>
      <x:c r="G34" s="29" t="str">
        <x:v>GPS Solutions</x:v>
      </x:c>
      <x:c r="H34" s="29" t="str">
        <x:v>10</x:v>
      </x:c>
      <x:c r="I34" s="29" t="str">
        <x:v>219–228</x:v>
      </x:c>
      <x:c r="J34" s="29" t="str">
        <x:v>10.1007/s10291-006-0029-5</x:v>
      </x:c>
      <x:c r="K34" s="29" t="str">
        <x:v>MIT Haystack Observatory</x:v>
      </x:c>
      <x:c r="L34" s="29" t="str">
        <x:v>USA</x:v>
      </x:c>
      <x:c r="M34" s="29" t="str">
        <x:v>https://link.springer.com/article/10.1007/s10291-006-0029-5</x:v>
      </x:c>
      <x:c r="N34" s="29" t="str">
        <x:v>Rideout, W., &amp; Coster, A. (2006). Automated GPS processing for global total electron content data. GPS Solutions, 10, 219–228. https://doi.org/10.1007/s10291-006-0029-5</x:v>
      </x:c>
      <x:c r="O34" s="29" t="str">
        <x:v>TEC estimation and bias handling; supports selecting a geographically relevant environmental series.</x:v>
      </x:c>
      <x:c r="P34" s="29" t="str">
        <x:v>Publisher/author metadata and abstract checked</x:v>
      </x:c>
      <x:c r="Q34" s="29" t="str">
        <x:v>Candidate — full-text selection pending</x:v>
      </x:c>
      <x:c r="R34" s="29" t="str">
        <x:v>Verify citation formatting against DOI export</x:v>
      </x:c>
      <x:c r="S34" s="30" t="str">
        <x:v>N/A — supporting literature, not a 2022 observation file</x:v>
      </x:c>
    </x:row>
    <x:row r="35" ht="80" customHeight="1">
      <x:c r="A35" s="28" t="str">
        <x:v>L034</x:v>
      </x:c>
      <x:c r="B35" s="29" t="str">
        <x:v>2.4;2.6</x:v>
      </x:c>
      <x:c r="C35" s="29" t="str">
        <x:v>Journal article</x:v>
      </x:c>
      <x:c r="D35" s="29" t="str">
        <x:v>Vierinen, J.; Coster, A. J.; Rideout, W. C.; Erickson, P. J.; Norberg, J.</x:v>
      </x:c>
      <x:c r="E35" s="29" t="n">
        <x:v>2016</x:v>
      </x:c>
      <x:c r="F35" s="29" t="str">
        <x:v>Statistical framework for estimating GNSS bias</x:v>
      </x:c>
      <x:c r="G35" s="29" t="str">
        <x:v>Atmospheric Measurement Techniques</x:v>
      </x:c>
      <x:c r="H35" s="29" t="str">
        <x:v>9</x:v>
      </x:c>
      <x:c r="I35" s="29" t="str">
        <x:v>1303–1312</x:v>
      </x:c>
      <x:c r="J35" s="29" t="str">
        <x:v>10.5194/amt-9-1303-2016</x:v>
      </x:c>
      <x:c r="K35" s="29" t="str">
        <x:v>MIT Haystack / Finnish Meteorological Institute</x:v>
      </x:c>
      <x:c r="L35" s="29" t="str">
        <x:v>USA; Finland</x:v>
      </x:c>
      <x:c r="M35" s="29" t="str">
        <x:v>https://amt.copernicus.org/articles/9/1303/2016/</x:v>
      </x:c>
      <x:c r="N35" s="29" t="str">
        <x:v>Vierinen, J., Coster, A. J., Rideout, W. C., Erickson, P. J., &amp; Norberg, J. (2016). Statistical framework for estimating GNSS bias. Atmospheric Measurement Techniques, 9, 1303–1312. https://doi.org/10.5194/amt-9-1303-2016</x:v>
      </x:c>
      <x:c r="O35" s="29" t="str">
        <x:v>Bias/error treatment for multi-receiver TEC; supports quality controls rather than assuming interchangeable sensors.</x:v>
      </x:c>
      <x:c r="P35" s="29" t="str">
        <x:v>Publisher/author metadata and abstract checked</x:v>
      </x:c>
      <x:c r="Q35" s="29" t="str">
        <x:v>Candidate — full-text selection pending</x:v>
      </x:c>
      <x:c r="R35" s="29" t="str">
        <x:v>Verify citation formatting against DOI export</x:v>
      </x:c>
      <x:c r="S35" s="30" t="str">
        <x:v>N/A — supporting literature, not a 2022 observation file</x:v>
      </x:c>
    </x:row>
    <x:row r="36" ht="80" customHeight="1">
      <x:c r="A36" s="28" t="str">
        <x:v>L035</x:v>
      </x:c>
      <x:c r="B36" s="29" t="str">
        <x:v>2.2;2.4;2.7</x:v>
      </x:c>
      <x:c r="C36" s="29" t="str">
        <x:v>Journal article</x:v>
      </x:c>
      <x:c r="D36" s="29" t="str">
        <x:v>Sterbenz, J. P. G.; Hutchison, D.; Çetinkaya, E. K.; Jabbar, A.; Rohrer, J. P.; Schöller, M.; Smith, P.</x:v>
      </x:c>
      <x:c r="E36" s="29" t="n">
        <x:v>2010</x:v>
      </x:c>
      <x:c r="F36" s="29" t="str">
        <x:v>Resilience and survivability in communication networks: Strategies, principles, and survey of disciplines</x:v>
      </x:c>
      <x:c r="G36" s="29" t="str">
        <x:v>Computer Networks</x:v>
      </x:c>
      <x:c r="H36" s="29" t="str">
        <x:v>54(8)</x:v>
      </x:c>
      <x:c r="I36" s="29" t="str">
        <x:v>1245–1265</x:v>
      </x:c>
      <x:c r="J36" s="29" t="str">
        <x:v>10.1016/j.comnet.2010.03.005</x:v>
      </x:c>
      <x:c r="K36" s="29" t="str">
        <x:v>University of Kansas / Lancaster University / coauthors</x:v>
      </x:c>
      <x:c r="L36" s="29" t="str">
        <x:v>USA; UK; Germany</x:v>
      </x:c>
      <x:c r="M36" s="29" t="str">
        <x:v>https://eprints.lancs.ac.uk/id/eprint/56825/</x:v>
      </x:c>
      <x:c r="N36" s="29" t="str">
        <x:v>Sterbenz, J. P. G., Hutchison, D., Çetinkaya, E. K., Jabbar, A., Rohrer, J. P., Schöller, M., &amp; Smith, P. (2010). Resilience and survivability in communication networks: Strategies, principles, and survey of disciplines. Computer Networks, 54(8), 1245–1265. https://doi.org/10.1016/j.comnet.2010.03.005</x:v>
      </x:c>
      <x:c r="O36" s="29" t="str">
        <x:v>Definitions and distinctions for communications resilience, survivability and recovery; useful for outcome selection.</x:v>
      </x:c>
      <x:c r="P36" s="29" t="str">
        <x:v>Publisher/author metadata and abstract checked</x:v>
      </x:c>
      <x:c r="Q36" s="29" t="str">
        <x:v>Candidate — full-text selection pending</x:v>
      </x:c>
      <x:c r="R36" s="29" t="str">
        <x:v>Verify citation formatting against DOI export</x:v>
      </x:c>
      <x:c r="S36" s="30" t="str">
        <x:v>N/A — supporting literature, not a 2022 observation file</x:v>
      </x:c>
    </x:row>
    <x:row r="37" ht="80" customHeight="1">
      <x:c r="A37" s="28" t="str">
        <x:v>L036</x:v>
      </x:c>
      <x:c r="B37" s="29" t="str">
        <x:v>2.4;2.5;2.7</x:v>
      </x:c>
      <x:c r="C37" s="29" t="str">
        <x:v>Journal article</x:v>
      </x:c>
      <x:c r="D37" s="29" t="str">
        <x:v>Avizienis, A.; Laprie, J.-C.; Randell, B.; Landwehr, C.</x:v>
      </x:c>
      <x:c r="E37" s="29" t="n">
        <x:v>2004</x:v>
      </x:c>
      <x:c r="F37" s="29" t="str">
        <x:v>Basic concepts and taxonomy of dependable and secure computing</x:v>
      </x:c>
      <x:c r="G37" s="29" t="str">
        <x:v>IEEE Transactions on Dependable and Secure Computing</x:v>
      </x:c>
      <x:c r="H37" s="29" t="str">
        <x:v>1(1)</x:v>
      </x:c>
      <x:c r="I37" s="29" t="str">
        <x:v>11–33</x:v>
      </x:c>
      <x:c r="J37" s="29" t="str">
        <x:v>10.1109/TDSC.2004.2</x:v>
      </x:c>
      <x:c r="K37" s="29" t="str">
        <x:v>Authors / IEEE; Newcastle University repository</x:v>
      </x:c>
      <x:c r="L37" s="29" t="str">
        <x:v>USA; France; UK</x:v>
      </x:c>
      <x:c r="M37" s="29" t="str">
        <x:v>https://eprints.ncl.ac.uk/69388</x:v>
      </x:c>
      <x:c r="N37" s="29" t="str">
        <x:v>Avizienis, A., Laprie, J.-C., Randell, B., &amp; Landwehr, C. (2004). Basic concepts and taxonomy of dependable and secure computing. IEEE Transactions on Dependable and Secure Computing, 1(1), 11–33. https://doi.org/10.1109/TDSC.2004.2</x:v>
      </x:c>
      <x:c r="O37" s="29" t="str">
        <x:v>Separates faults, errors and failures; helps avoid calling missing observations or missed deadlines physical outages.</x:v>
      </x:c>
      <x:c r="P37" s="29" t="str">
        <x:v>Publisher/author metadata and abstract checked</x:v>
      </x:c>
      <x:c r="Q37" s="29" t="str">
        <x:v>Candidate — full-text selection pending</x:v>
      </x:c>
      <x:c r="R37" s="29" t="str">
        <x:v>Verify citation formatting against DOI export</x:v>
      </x:c>
      <x:c r="S37" s="30" t="str">
        <x:v>N/A — supporting literature, not a 2022 observation file</x:v>
      </x:c>
    </x:row>
    <x:row r="38" ht="80" customHeight="1">
      <x:c r="A38" s="28" t="str">
        <x:v>L037</x:v>
      </x:c>
      <x:c r="B38" s="29" t="str">
        <x:v>2.2;2.4;2.5</x:v>
      </x:c>
      <x:c r="C38" s="29" t="str">
        <x:v>Journal article</x:v>
      </x:c>
      <x:c r="D38" s="29" t="str">
        <x:v>Garcia, J.; Beckerle, M.; Sundberg, S.; Brunstrom, A.</x:v>
      </x:c>
      <x:c r="E38" s="29" t="n">
        <x:v>2025</x:v>
      </x:c>
      <x:c r="F38" s="29" t="str">
        <x:v>Modeling and predicting starlink throughput with fine-grained burst characterization</x:v>
      </x:c>
      <x:c r="G38" s="29" t="str">
        <x:v>Computer Communications</x:v>
      </x:c>
      <x:c r="H38" s="29" t="str">
        <x:v>234</x:v>
      </x:c>
      <x:c r="I38" s="29" t="str">
        <x:v>108090</x:v>
      </x:c>
      <x:c r="J38" s="29" t="str">
        <x:v>10.1016/j.comcom.2025.108090</x:v>
      </x:c>
      <x:c r="K38" s="29" t="str">
        <x:v>Karlstad University / coauthors</x:v>
      </x:c>
      <x:c r="L38" s="29" t="str">
        <x:v>Sweden</x:v>
      </x:c>
      <x:c r="M38" s="29" t="str">
        <x:v>https://www.sciencedirect.com/science/article/pii/S0140366425000477</x:v>
      </x:c>
      <x:c r="N38" s="29" t="str">
        <x:v>Garcia, J., Beckerle, M., Sundberg, S., &amp; Brunstrom, A. (2025). Modeling and predicting starlink throughput with fine-grained burst characterization. Computer Communications, 234, 108090. https://doi.org/10.1016/j.comcom.2025.108090</x:v>
      </x:c>
      <x:c r="O38" s="29" t="str">
        <x:v>Burst/state-transition throughput modeling; separate synthetic scenario generator, not throughput observed in the OWD file.</x:v>
      </x:c>
      <x:c r="P38" s="29" t="str">
        <x:v>Publisher/author metadata and abstract checked</x:v>
      </x:c>
      <x:c r="Q38" s="29" t="str">
        <x:v>Candidate — full-text selection pending</x:v>
      </x:c>
      <x:c r="R38" s="29" t="str">
        <x:v>Verify citation formatting against DOI export</x:v>
      </x:c>
      <x:c r="S38" s="30" t="str">
        <x:v>N/A — supporting literature, not a 2022 observation file</x:v>
      </x:c>
    </x:row>
    <x:row r="39" ht="80" customHeight="1">
      <x:c r="A39" s="28" t="str">
        <x:v>L038</x:v>
      </x:c>
      <x:c r="B39" s="29" t="str">
        <x:v>2.2;2.4;2.5;2.6</x:v>
      </x:c>
      <x:c r="C39" s="29" t="str">
        <x:v>Refereed conference paper</x:v>
      </x:c>
      <x:c r="D39" s="29" t="str">
        <x:v>Garcia, J.; Sundberg, S.; Brunstrom, A.</x:v>
      </x:c>
      <x:c r="E39" s="29" t="n">
        <x:v>2025</x:v>
      </x:c>
      <x:c r="F39" s="29" t="str">
        <x:v>A detailed characterization of Starlink one-way delay</x:v>
      </x:c>
      <x:c r="G39" s="29" t="str">
        <x:v>Proceedings of the 3rd Workshop on LEO Networking and Communication</x:v>
      </x:c>
      <x:c r="H39" s="29" t="str"/>
      <x:c r="I39" s="29" t="str">
        <x:v>43–49</x:v>
      </x:c>
      <x:c r="J39" s="29" t="str">
        <x:v>10.1145/3748749.3749090</x:v>
      </x:c>
      <x:c r="K39" s="29" t="str">
        <x:v>Karlstad University / University of Malaga / ACM</x:v>
      </x:c>
      <x:c r="L39" s="29" t="str">
        <x:v>Sweden; Spain</x:v>
      </x:c>
      <x:c r="M39" s="29" t="str">
        <x:v>https://conferences.sigcomm.org/sigcomm/2025/workshop/papers-workshop-info/</x:v>
      </x:c>
      <x:c r="N39" s="29" t="str">
        <x:v>Garcia, J., Sundberg, S., &amp; Brunstrom, A. (2025). A detailed characterization of Starlink one-way delay. Proceedings of the 3rd Workshop on LEO Networking and Communication, 43–49. https://doi.org/10.1145/3748749.3749090</x:v>
      </x:c>
      <x:c r="O39" s="29" t="str">
        <x:v>Direction-dependent delay, scheduling cycles and sampling aliasing; April 2025 measurements do not match January 2022.</x:v>
      </x:c>
      <x:c r="P39" s="29" t="str">
        <x:v>Publisher/author metadata and abstract checked</x:v>
      </x:c>
      <x:c r="Q39" s="29" t="str">
        <x:v>Candidate — full-text selection pending</x:v>
      </x:c>
      <x:c r="R39" s="29" t="str">
        <x:v>Verify citation formatting against DOI export</x:v>
      </x:c>
      <x:c r="S39" s="30" t="str">
        <x:v>N/A — supporting literature, not a 2022 observation file</x:v>
      </x:c>
    </x:row>
    <x:row r="40" ht="80" customHeight="1">
      <x:c r="A40" s="28" t="str">
        <x:v>L039</x:v>
      </x:c>
      <x:c r="B40" s="29" t="str">
        <x:v>2.1;2.3;2.6;2.7</x:v>
      </x:c>
      <x:c r="C40" s="29" t="str">
        <x:v>Journal article</x:v>
      </x:c>
      <x:c r="D40" s="29" t="str">
        <x:v>Ruszczak, B.; Kotowski, K.; Evans, D.; Nalepa, J.</x:v>
      </x:c>
      <x:c r="E40" s="29" t="n">
        <x:v>2025</x:v>
      </x:c>
      <x:c r="F40" s="29" t="str">
        <x:v>The OPS-SAT benchmark for detecting anomalies in satellite telemetry</x:v>
      </x:c>
      <x:c r="G40" s="29" t="str">
        <x:v>Scientific Data</x:v>
      </x:c>
      <x:c r="H40" s="29" t="str">
        <x:v>12</x:v>
      </x:c>
      <x:c r="I40" s="29" t="str">
        <x:v>710</x:v>
      </x:c>
      <x:c r="J40" s="29" t="str">
        <x:v>10.1038/s41597-025-05035-3</x:v>
      </x:c>
      <x:c r="K40" s="29" t="str">
        <x:v>Authors / ESA / Polish academic and industry partners</x:v>
      </x:c>
      <x:c r="L40" s="29" t="str">
        <x:v>Poland; ESA/Europe</x:v>
      </x:c>
      <x:c r="M40" s="29" t="str">
        <x:v>https://www.nature.com/articles/s41597-025-05035-3</x:v>
      </x:c>
      <x:c r="N40" s="29" t="str">
        <x:v>Ruszczak, B., Kotowski, K., Evans, D., &amp; Nalepa, J. (2025). The OPS-SAT benchmark for detecting anomalies in satellite telemetry. Scientific Data, 12, 710. https://doi.org/10.1038/s41597-025-05035-3</x:v>
      </x:c>
      <x:c r="O40" s="29" t="str">
        <x:v>Primary published paper for OPSSAT-AD: telemetry segments, labels, train/test design and benchmark limitations. Use instead of counting its preprint again.</x:v>
      </x:c>
      <x:c r="P40" s="29" t="str">
        <x:v>Publisher/author metadata and abstract checked</x:v>
      </x:c>
      <x:c r="Q40" s="29" t="str">
        <x:v>Candidate — full-text selection pending</x:v>
      </x:c>
      <x:c r="R40" s="29" t="str">
        <x:v>Verify citation formatting against DOI export</x:v>
      </x:c>
      <x:c r="S40" s="30" t="str">
        <x:v>N/A — supporting literature, not a 2022 observation file</x:v>
      </x:c>
    </x:row>
    <x:row r="41" ht="80" customHeight="1">
      <x:c r="A41" s="28" t="str">
        <x:v>L040</x:v>
      </x:c>
      <x:c r="B41" s="29" t="str">
        <x:v>2.3;2.6</x:v>
      </x:c>
      <x:c r="C41" s="29" t="str">
        <x:v>Refereed conference paper</x:v>
      </x:c>
      <x:c r="D41" s="29" t="str">
        <x:v>Ruszczak, B.; Kotowski, K.; Andrzejewski, J.; Musiał, A.; Evans, D.; Zelenevskiy, V.; Bammens, S.; Laurinovics, R.; Nalepa, J.</x:v>
      </x:c>
      <x:c r="E41" s="29" t="n">
        <x:v>2023</x:v>
      </x:c>
      <x:c r="F41" s="29" t="str">
        <x:v>Machine learning detects anomalies in OPS-SAT telemetry</x:v>
      </x:c>
      <x:c r="G41" s="29" t="str">
        <x:v>Computational Science – ICCS 2023, Lecture Notes in Computer Science</x:v>
      </x:c>
      <x:c r="H41" s="29" t="str">
        <x:v>14073</x:v>
      </x:c>
      <x:c r="I41" s="29" t="str">
        <x:v>295–306</x:v>
      </x:c>
      <x:c r="J41" s="29" t="str">
        <x:v>10.1007/978-3-031-35995-8_21</x:v>
      </x:c>
      <x:c r="K41" s="29" t="str">
        <x:v>Authors / Springer / ESA partners</x:v>
      </x:c>
      <x:c r="L41" s="29" t="str">
        <x:v>Poland; ESA/Europe</x:v>
      </x:c>
      <x:c r="M41" s="29" t="str">
        <x:v>https://link.springer.com/chapter/10.1007/978-3-031-35995-8_21</x:v>
      </x:c>
      <x:c r="N41" s="29" t="str">
        <x:v>Ruszczak, B., Kotowski, K., Andrzejewski, J., Musiał, A., Evans, D., Zelenevskiy, V., Bammens, S., Laurinovics, R., &amp; Nalepa, J. (2023). Machine learning detects anomalies in OPS-SAT telemetry. Computational Science – ICCS 2023, Lecture Notes in Computer Science, 14073, 295–306. https://doi.org/10.1007/978-3-031-35995-8_21</x:v>
      </x:c>
      <x:c r="O41" s="29" t="str">
        <x:v>Earlier OPS-SAT anomaly-detection study; distinguish from the later benchmark dataset paper.</x:v>
      </x:c>
      <x:c r="P41" s="29" t="str">
        <x:v>Publisher/author metadata and abstract checked</x:v>
      </x:c>
      <x:c r="Q41" s="29" t="str">
        <x:v>Candidate — full-text selection pending</x:v>
      </x:c>
      <x:c r="R41" s="29" t="str">
        <x:v>Add volume editors from publisher RIS for APA proceedings-chapter formatting.</x:v>
      </x:c>
      <x:c r="S41" s="30" t="str">
        <x:v>N/A — supporting literature, not a 2022 observation file</x:v>
      </x:c>
    </x:row>
    <x:row r="42" ht="80" customHeight="1">
      <x:c r="A42" s="28" t="str">
        <x:v>L041</x:v>
      </x:c>
      <x:c r="B42" s="29" t="str">
        <x:v>2.3;2.7</x:v>
      </x:c>
      <x:c r="C42" s="29" t="str">
        <x:v>Journal article</x:v>
      </x:c>
      <x:c r="D42" s="29" t="str">
        <x:v>Fratini, S.; Policella, N.; Silva, R.; Guerreiro, J.</x:v>
      </x:c>
      <x:c r="E42" s="29" t="n">
        <x:v>2022</x:v>
      </x:c>
      <x:c r="F42" s="29" t="str">
        <x:v>On-board autonomy operations for OPS-SAT experiment</x:v>
      </x:c>
      <x:c r="G42" s="29" t="str">
        <x:v>Applied Intelligence</x:v>
      </x:c>
      <x:c r="H42" s="29" t="str">
        <x:v>52</x:v>
      </x:c>
      <x:c r="I42" s="29" t="str">
        <x:v>6970–6987</x:v>
      </x:c>
      <x:c r="J42" s="29" t="str">
        <x:v>10.1007/s10489-020-02158-5</x:v>
      </x:c>
      <x:c r="K42" s="29" t="str">
        <x:v>ESA / industrial research partners</x:v>
      </x:c>
      <x:c r="L42" s="29" t="str">
        <x:v>Germany; Portugal</x:v>
      </x:c>
      <x:c r="M42" s="29" t="str">
        <x:v>https://link.springer.com/article/10.1007/s10489-020-02158-5</x:v>
      </x:c>
      <x:c r="N42" s="29" t="str">
        <x:v>Fratini, S., Policella, N., Silva, R., &amp; Guerreiro, J. (2022). On-board autonomy operations for OPS-SAT experiment. Applied Intelligence, 52, 6970–6987. https://doi.org/10.1007/s10489-020-02158-5</x:v>
      </x:c>
      <x:c r="O42" s="29" t="str">
        <x:v>OPS-SAT planning/scheduling autonomy precedent; feasibility is not proof of improvement in the current DES.</x:v>
      </x:c>
      <x:c r="P42" s="29" t="str">
        <x:v>Publisher/author metadata and abstract checked</x:v>
      </x:c>
      <x:c r="Q42" s="29" t="str">
        <x:v>Candidate — full-text selection pending</x:v>
      </x:c>
      <x:c r="R42" s="29" t="str">
        <x:v>Use issue year 2022; first online date is 12 March 2021.</x:v>
      </x:c>
      <x:c r="S42" s="30" t="str">
        <x:v>N/A — supporting literature, not a 2022 observation file</x:v>
      </x:c>
    </x:row>
    <x:row r="43" ht="80" customHeight="1">
      <x:c r="A43" s="28" t="str">
        <x:v>L042</x:v>
      </x:c>
      <x:c r="B43" s="29" t="str">
        <x:v>2.3;2.6;2.7</x:v>
      </x:c>
      <x:c r="C43" s="29" t="str">
        <x:v>Refereed conference paper</x:v>
      </x:c>
      <x:c r="D43" s="29" t="str">
        <x:v>Labrèche, G.; Evans, D.; Marszk, D.; Mladenov, T.; Shiradhonkar, V.; Soto, T.; Zelenevskiy, V.</x:v>
      </x:c>
      <x:c r="E43" s="29" t="n">
        <x:v>2022</x:v>
      </x:c>
      <x:c r="F43" s="29" t="str">
        <x:v>OPS-SAT spacecraft autonomy with TensorFlow Lite, unsupervised learning, and online machine learning</x:v>
      </x:c>
      <x:c r="G43" s="29" t="str">
        <x:v>2022 IEEE Aerospace Conference (AERO)</x:v>
      </x:c>
      <x:c r="H43" s="29" t="str"/>
      <x:c r="I43" s="29" t="str">
        <x:v>1–17</x:v>
      </x:c>
      <x:c r="J43" s="29" t="str">
        <x:v>10.1109/AERO53065.2022.9843402</x:v>
      </x:c>
      <x:c r="K43" s="29" t="str">
        <x:v>OPS-SAT flight-control team / ESA</x:v>
      </x:c>
      <x:c r="L43" s="29" t="str">
        <x:v>Germany / ESA/Europe</x:v>
      </x:c>
      <x:c r="M43" s="29" t="str">
        <x:v>https://github.com/georgeslabreche/opssat-orbitai</x:v>
      </x:c>
      <x:c r="N43" s="29" t="str">
        <x:v>Labrèche, G., Evans, D., Marszk, D., Mladenov, T., Shiradhonkar, V., Soto, T., &amp; Zelenevskiy, V. (2022). OPS-SAT spacecraft autonomy with TensorFlow Lite, unsupervised learning, and online machine learning. 2022 IEEE Aerospace Conference (AERO), 1–17. https://doi.org/10.1109/AERO53065.2022.9843402</x:v>
      </x:c>
      <x:c r="O43" s="29" t="str">
        <x:v>Actual on-board software and model-execution precedent. Repository logs are candidates until their dates and IDs are checked.</x:v>
      </x:c>
      <x:c r="P43" s="29" t="str">
        <x:v>Author repository includes paper citation, BibTeX and flight-log directory description</x:v>
      </x:c>
      <x:c r="Q43" s="29" t="str">
        <x:v>Candidate — full-text selection pending</x:v>
      </x:c>
      <x:c r="R43" s="29" t="str">
        <x:v>Verify citation formatting against DOI export</x:v>
      </x:c>
      <x:c r="S43" s="30" t="str">
        <x:v>N/A — supporting literature, not a 2022 observation file</x:v>
      </x:c>
    </x:row>
    <x:row r="44" ht="80" customHeight="1">
      <x:c r="A44" s="28" t="str">
        <x:v>L043</x:v>
      </x:c>
      <x:c r="B44" s="29" t="str">
        <x:v>2.3;2.5</x:v>
      </x:c>
      <x:c r="C44" s="29" t="str">
        <x:v>Journal article</x:v>
      </x:c>
      <x:c r="D44" s="29" t="str">
        <x:v>Lentaris, G.; Maragos, K.; Stratakos, I.; Papadopoulos, L.; Papanikolaou, O.; Soudris, D.; Lourakis, M.; Zabulis, X.; Gonzalez-Arjona, D.; Furano, G.</x:v>
      </x:c>
      <x:c r="E44" s="29" t="n">
        <x:v>2018</x:v>
      </x:c>
      <x:c r="F44" s="29" t="str">
        <x:v>High-performance embedded computing in space: Evaluation of platforms for vision-based navigation</x:v>
      </x:c>
      <x:c r="G44" s="29" t="str">
        <x:v>Journal of Aerospace Information Systems</x:v>
      </x:c>
      <x:c r="H44" s="29" t="str">
        <x:v>15(3)</x:v>
      </x:c>
      <x:c r="I44" s="29" t="str">
        <x:v>178–192</x:v>
      </x:c>
      <x:c r="J44" s="29" t="str">
        <x:v>10.2514/1.I010555</x:v>
      </x:c>
      <x:c r="K44" s="29" t="str">
        <x:v>National Technical University of Athens / FORTH / ESA / coauthors</x:v>
      </x:c>
      <x:c r="L44" s="29" t="str">
        <x:v>Greece; Spain; ESA/Europe</x:v>
      </x:c>
      <x:c r="M44" s="29" t="str">
        <x:v>https://doi.org/10.2514/1.I010555</x:v>
      </x:c>
      <x:c r="N44" s="29" t="str">
        <x:v>Lentaris, G., Maragos, K., Stratakos, I., Papadopoulos, L., Papanikolaou, O., Soudris, D., Lourakis, M., Zabulis, X., Gonzalez-Arjona, D., &amp; Furano, G. (2018). High-performance embedded computing in space: Evaluation of platforms for vision-based navigation. Journal of Aerospace Information Systems, 15(3), 178–192. https://doi.org/10.2514/1.I010555</x:v>
      </x:c>
      <x:c r="O44" s="29" t="str">
        <x:v>Compute/platform tradeoffs and implementation constraints; informs bounded processing scenarios, not measured OPS-SAT service times.</x:v>
      </x:c>
      <x:c r="P44" s="29" t="str">
        <x:v>Publisher/author metadata and abstract checked</x:v>
      </x:c>
      <x:c r="Q44" s="29" t="str">
        <x:v>Candidate — full-text selection pending</x:v>
      </x:c>
      <x:c r="R44" s="29" t="str">
        <x:v>Verify citation formatting against DOI export</x:v>
      </x:c>
      <x:c r="S44" s="30" t="str">
        <x:v>N/A — supporting literature, not a 2022 observation file</x:v>
      </x:c>
    </x:row>
    <x:row r="45" ht="80" customHeight="1">
      <x:c r="A45" s="28" t="str">
        <x:v>L044</x:v>
      </x:c>
      <x:c r="B45" s="29" t="str">
        <x:v>2.3;2.5</x:v>
      </x:c>
      <x:c r="C45" s="29" t="str">
        <x:v>Journal article</x:v>
      </x:c>
      <x:c r="D45" s="29" t="str">
        <x:v>Pitoňák, R.; Mucha, J.; Dobiš, L.; Javorka, M.; Marušin, M.</x:v>
      </x:c>
      <x:c r="E45" s="29" t="n">
        <x:v>2022</x:v>
      </x:c>
      <x:c r="F45" s="29" t="str">
        <x:v>CloudSatNet-1: FPGA-based hardware-accelerated quantized CNN for satellite on-board cloud coverage classification</x:v>
      </x:c>
      <x:c r="G45" s="29" t="str">
        <x:v>Remote Sensing</x:v>
      </x:c>
      <x:c r="H45" s="29" t="str">
        <x:v>14(13)</x:v>
      </x:c>
      <x:c r="I45" s="29" t="str">
        <x:v>3180</x:v>
      </x:c>
      <x:c r="J45" s="29" t="str">
        <x:v>10.3390/rs14133180</x:v>
      </x:c>
      <x:c r="K45" s="29" t="str">
        <x:v>Authors / MDPI</x:v>
      </x:c>
      <x:c r="L45" s="29" t="str">
        <x:v>Slovakia; Czech Republic — confirm full affiliations</x:v>
      </x:c>
      <x:c r="M45" s="29" t="str">
        <x:v>https://dspace.vut.cz/items/ad2a3de1-f4c6-4f34-9055-8782169e1db6</x:v>
      </x:c>
      <x:c r="N45" s="29" t="str">
        <x:v>Pitoňák, R., Mucha, J., Dobiš, L., Javorka, M., &amp; Marušin, M. (2022). CloudSatNet-1: FPGA-based hardware-accelerated quantized CNN for satellite on-board cloud coverage classification. Remote Sensing, 14(13), 3180. https://doi.org/10.3390/rs14133180</x:v>
      </x:c>
      <x:c r="O45" s="29" t="str">
        <x:v>Compute, accuracy, power and quantization tradeoffs; bench results are not historical OPS-SAT measurements.</x:v>
      </x:c>
      <x:c r="P45" s="29" t="str">
        <x:v>Publisher DOI metadata plus author-institution repository citation checked</x:v>
      </x:c>
      <x:c r="Q45" s="29" t="str">
        <x:v>Candidate — full-text selection pending</x:v>
      </x:c>
      <x:c r="R45" s="29" t="str">
        <x:v>Complete author list from Brno University of Technology repository; format against final publisher record.</x:v>
      </x:c>
      <x:c r="S45" s="30" t="str">
        <x:v>N/A — supporting literature, not a 2022 observation file</x:v>
      </x:c>
    </x:row>
    <x:row r="46" ht="80" customHeight="1">
      <x:c r="A46" s="28" t="str">
        <x:v>L045</x:v>
      </x:c>
      <x:c r="B46" s="29" t="str">
        <x:v>2.3;2.7</x:v>
      </x:c>
      <x:c r="C46" s="29" t="str">
        <x:v>Journal article</x:v>
      </x:c>
      <x:c r="D46" s="29" t="str">
        <x:v>Furano, G.; Meoni, G.; Dunne, A.; Moloney, D.; Ferlet-Cavrois, V.; Tavoularis, A.; Byrne, J.; Buckley, L.; Psarakis, M.; Voss, K.-O.; Fanucci, L.</x:v>
      </x:c>
      <x:c r="E46" s="29" t="n">
        <x:v>2020</x:v>
      </x:c>
      <x:c r="F46" s="29" t="str">
        <x:v>Towards the use of artificial intelligence on the edge in space systems: Challenges and opportunities</x:v>
      </x:c>
      <x:c r="G46" s="29" t="str">
        <x:v>IEEE Aerospace and Electronic Systems Magazine</x:v>
      </x:c>
      <x:c r="H46" s="29" t="str">
        <x:v>35(12)</x:v>
      </x:c>
      <x:c r="I46" s="29" t="str">
        <x:v>44–56</x:v>
      </x:c>
      <x:c r="J46" s="29" t="str">
        <x:v>10.1109/MAES.2020.3008468</x:v>
      </x:c>
      <x:c r="K46" s="29" t="str">
        <x:v>ESA / University of Pisa / Ubotica / Intel / coauthors</x:v>
      </x:c>
      <x:c r="L46" s="29" t="str">
        <x:v>ESA/Europe; Italy; Ireland; Greece; Germany</x:v>
      </x:c>
      <x:c r="M46" s="29" t="str">
        <x:v>https://www.esa.int/gsp/ACT/projects/spiking_neural_networks/</x:v>
      </x:c>
      <x:c r="N46" s="29" t="str">
        <x:v>Furano, G., Meoni, G., Dunne, A., Moloney, D., Ferlet-Cavrois, V., Tavoularis, A., Byrne, J., Buckley, L., Psarakis, M., Voss, K.-O., &amp; Fanucci, L. (2020). Towards the use of artificial intelligence on the edge in space systems: Challenges and opportunities. IEEE Aerospace and Electronic Systems Magazine, 35(12), 44–56. https://doi.org/10.1109/MAES.2020.3008468</x:v>
      </x:c>
      <x:c r="O46" s="29" t="str">
        <x:v>Onboard AI resource and assurance constraints; motivates conditional benefits, not automatic Edge superiority.</x:v>
      </x:c>
      <x:c r="P46" s="29" t="str">
        <x:v>ESA reference list confirms title, venue, year, volume and pages; full paper review pending</x:v>
      </x:c>
      <x:c r="Q46" s="29" t="str">
        <x:v>Candidate — full-text selection pending</x:v>
      </x:c>
      <x:c r="R46" s="29" t="str">
        <x:v>Verify citation formatting against DOI export</x:v>
      </x:c>
      <x:c r="S46" s="30" t="str">
        <x:v>N/A — supporting literature, not a 2022 observation file</x:v>
      </x:c>
    </x:row>
    <x:row r="47" ht="80" customHeight="1">
      <x:c r="A47" s="28" t="str">
        <x:v>L046</x:v>
      </x:c>
      <x:c r="B47" s="29" t="str">
        <x:v>2.3;2.7</x:v>
      </x:c>
      <x:c r="C47" s="29" t="str">
        <x:v>Journal article</x:v>
      </x:c>
      <x:c r="D47" s="29" t="str">
        <x:v>Zhou, Z.; Chen, X.; Li, E.; Zeng, L.; Luo, K.; Zhang, J.</x:v>
      </x:c>
      <x:c r="E47" s="29" t="n">
        <x:v>2019</x:v>
      </x:c>
      <x:c r="F47" s="29" t="str">
        <x:v>Edge intelligence: Paving the last mile of artificial intelligence with edge computing</x:v>
      </x:c>
      <x:c r="G47" s="29" t="str">
        <x:v>Proceedings of the IEEE</x:v>
      </x:c>
      <x:c r="H47" s="29" t="str">
        <x:v>107(8)</x:v>
      </x:c>
      <x:c r="I47" s="29" t="str">
        <x:v>1738–1762</x:v>
      </x:c>
      <x:c r="J47" s="29" t="str">
        <x:v>10.1109/JPROC.2019.2918951</x:v>
      </x:c>
      <x:c r="K47" s="29" t="str">
        <x:v>Authors / IEEE</x:v>
      </x:c>
      <x:c r="L47" s="29" t="str">
        <x:v>China; USA</x:v>
      </x:c>
      <x:c r="M47" s="29" t="str">
        <x:v>https://arxiv.org/abs/1905.10083</x:v>
      </x:c>
      <x:c r="N47" s="29" t="str">
        <x:v>Zhou, Z., Chen, X., Li, E., Zeng, L., Luo, K., &amp; Zhang, J. (2019). Edge intelligence: Paving the last mile of artificial intelligence with edge computing. Proceedings of the IEEE, 107(8), 1738–1762. https://doi.org/10.1109/JPROC.2019.2918951</x:v>
      </x:c>
      <x:c r="O47" s="29" t="str">
        <x:v>Training/inference placement and resource tradeoffs. Terrestrial conceptual support, not spacecraft data.</x:v>
      </x:c>
      <x:c r="P47" s="29" t="str">
        <x:v>Author manuscript abstract and journal identity checked; DOI publication record supplied</x:v>
      </x:c>
      <x:c r="Q47" s="29" t="str">
        <x:v>Candidate — full-text selection pending</x:v>
      </x:c>
      <x:c r="R47" s="29" t="str">
        <x:v>Verify citation formatting against DOI export</x:v>
      </x:c>
      <x:c r="S47" s="30" t="str">
        <x:v>N/A — supporting literature, not a 2022 observation file</x:v>
      </x:c>
    </x:row>
    <x:row r="48" ht="80" customHeight="1">
      <x:c r="A48" s="28" t="str">
        <x:v>L047</x:v>
      </x:c>
      <x:c r="B48" s="29" t="str">
        <x:v>2.2;2.3;2.7</x:v>
      </x:c>
      <x:c r="C48" s="29" t="str">
        <x:v>Journal article</x:v>
      </x:c>
      <x:c r="D48" s="29" t="str">
        <x:v>Satyanarayanan, M.</x:v>
      </x:c>
      <x:c r="E48" s="29" t="n">
        <x:v>2017</x:v>
      </x:c>
      <x:c r="F48" s="29" t="str">
        <x:v>The emergence of edge computing</x:v>
      </x:c>
      <x:c r="G48" s="29" t="str">
        <x:v>Computer</x:v>
      </x:c>
      <x:c r="H48" s="29" t="str">
        <x:v>50(1)</x:v>
      </x:c>
      <x:c r="I48" s="29" t="str">
        <x:v>30–39</x:v>
      </x:c>
      <x:c r="J48" s="29" t="str">
        <x:v>10.1109/MC.2017.9</x:v>
      </x:c>
      <x:c r="K48" s="29" t="str">
        <x:v>Carnegie Mellon University / IEEE</x:v>
      </x:c>
      <x:c r="L48" s="29" t="str">
        <x:v>USA</x:v>
      </x:c>
      <x:c r="M48" s="29" t="str">
        <x:v>https://elijah.cs.cmu.edu/</x:v>
      </x:c>
      <x:c r="N48" s="29" t="str">
        <x:v>Satyanarayanan, M. (2017). The emergence of edge computing. Computer, 50(1), 30–39. https://doi.org/10.1109/MC.2017.9</x:v>
      </x:c>
      <x:c r="O48" s="29" t="str">
        <x:v>General architectural rationale for moving compute closer to data; do not transfer terrestrial performance numbers directly.</x:v>
      </x:c>
      <x:c r="P48" s="29" t="str">
        <x:v>Author research-group page links the January 2017 paper; CMU bibliography confirms venue and pages</x:v>
      </x:c>
      <x:c r="Q48" s="29" t="str">
        <x:v>Candidate — full-text selection pending</x:v>
      </x:c>
      <x:c r="R48" s="29" t="str">
        <x:v>Verify citation formatting against DOI export</x:v>
      </x:c>
      <x:c r="S48" s="30" t="str">
        <x:v>N/A — supporting literature, not a 2022 observation file</x:v>
      </x:c>
    </x:row>
    <x:row r="49" ht="80" customHeight="1">
      <x:c r="A49" s="28" t="str">
        <x:v>L048</x:v>
      </x:c>
      <x:c r="B49" s="29" t="str">
        <x:v>2.2;2.4;2.6</x:v>
      </x:c>
      <x:c r="C49" s="29" t="str">
        <x:v>Refereed conference paper</x:v>
      </x:c>
      <x:c r="D49" s="29" t="str">
        <x:v>Laniewski, D.; Lanfer, E.; Meijerink, B.; van Rijswijk-Deij, R.; Aschenbruck, N.</x:v>
      </x:c>
      <x:c r="E49" s="29" t="n">
        <x:v>2024</x:v>
      </x:c>
      <x:c r="F49" s="29" t="str">
        <x:v>WetLinks: A large-scale longitudinal Starlink dataset with contiguous weather data</x:v>
      </x:c>
      <x:c r="G49" s="29" t="str">
        <x:v>2024 8th Network Traffic Measurement and Analysis Conference (TMA)</x:v>
      </x:c>
      <x:c r="H49" s="29" t="str"/>
      <x:c r="I49" s="29" t="str">
        <x:v>1–9</x:v>
      </x:c>
      <x:c r="J49" s="29" t="str">
        <x:v>10.23919/TMA62044.2024.10558998</x:v>
      </x:c>
      <x:c r="K49" s="29" t="str">
        <x:v>Osnabrück University / University of Twente</x:v>
      </x:c>
      <x:c r="L49" s="29" t="str">
        <x:v>Germany; Netherlands</x:v>
      </x:c>
      <x:c r="M49" s="29" t="str">
        <x:v>https://osnascholar.ub.uni-osnabrueck.de/handle/unios/76160</x:v>
      </x:c>
      <x:c r="N49" s="29" t="str">
        <x:v>Laniewski, D., Lanfer, E., Meijerink, B., van Rijswijk-Deij, R., &amp; Aschenbruck, N. (2024). WetLinks: A large-scale longitudinal Starlink dataset with contiguous weather data. 2024 8th Network Traffic Measurement and Analysis Conference (TMA), 1–9. https://doi.org/10.23919/TMA62044.2024.10558998</x:v>
      </x:c>
      <x:c r="O49" s="29" t="str">
        <x:v>Network/weather measurements and data cleaning. Useful precedent; 2023–2024 records are not the January 2022 OPS-SAT cohort.</x:v>
      </x:c>
      <x:c r="P49" s="29" t="str">
        <x:v>Publisher/author metadata and abstract checked</x:v>
      </x:c>
      <x:c r="Q49" s="29" t="str">
        <x:v>Candidate — full-text selection pending</x:v>
      </x:c>
      <x:c r="R49" s="29" t="str">
        <x:v>Verify citation formatting against DOI export</x:v>
      </x:c>
      <x:c r="S49" s="30" t="str">
        <x:v>N/A — supporting literature, not a 2022 observation file</x:v>
      </x:c>
    </x:row>
    <x:row r="50" ht="80" customHeight="1">
      <x:c r="A50" s="28" t="str">
        <x:v>L049</x:v>
      </x:c>
      <x:c r="B50" s="29" t="str">
        <x:v>2.2;2.4;2.6</x:v>
      </x:c>
      <x:c r="C50" s="29" t="str">
        <x:v>Refereed conference paper</x:v>
      </x:c>
      <x:c r="D50" s="29" t="str">
        <x:v>Mohan, N.; Ferguson, A. E.; Cech, H.; Bose, R.; Renatin, P. R.; Marina, M. K.; Ott, J.</x:v>
      </x:c>
      <x:c r="E50" s="29" t="n">
        <x:v>2024</x:v>
      </x:c>
      <x:c r="F50" s="29" t="str">
        <x:v>A multifaceted look at Starlink performance</x:v>
      </x:c>
      <x:c r="G50" s="29" t="str">
        <x:v>Proceedings of the ACM Web Conference 2024</x:v>
      </x:c>
      <x:c r="H50" s="29" t="str"/>
      <x:c r="I50" s="29" t="str">
        <x:v>2723–2734</x:v>
      </x:c>
      <x:c r="J50" s="29" t="str">
        <x:v>10.1145/3589334.3645328</x:v>
      </x:c>
      <x:c r="K50" s="29" t="str">
        <x:v>Authors / ACM</x:v>
      </x:c>
      <x:c r="L50" s="29" t="str">
        <x:v>Germany; UK / multi-country measurements</x:v>
      </x:c>
      <x:c r="M50" s="29" t="str">
        <x:v>https://portal.fis.tum.de/en/publications/a-multifaceted-look-at-starlink-performance/</x:v>
      </x:c>
      <x:c r="N50" s="29" t="str">
        <x:v>Mohan, N., Ferguson, A. E., Cech, H., Bose, R., Renatin, P. R., Marina, M. K., &amp; Ott, J. (2024). A multifaceted look at Starlink performance. Proceedings of the ACM Web Conference 2024, 2723–2734. https://doi.org/10.1145/3589334.3645328</x:v>
      </x:c>
      <x:c r="O50" s="29" t="str">
        <x:v>Multi-source measurement design and reconfiguration effects; Starlink access data are not same-spacecraft OPS-SAT observations.</x:v>
      </x:c>
      <x:c r="P50" s="29" t="str">
        <x:v>Author-institution final proceedings metadata, peer-review status, author order and pages checked</x:v>
      </x:c>
      <x:c r="Q50" s="29" t="str">
        <x:v>Candidate — full-text selection pending</x:v>
      </x:c>
      <x:c r="R50" s="29" t="str">
        <x:v>Use final proceedings author order (Bose before Renatin), not arXiv order; DOI ends 3645328.</x:v>
      </x:c>
      <x:c r="S50" s="30" t="str">
        <x:v>N/A — supporting literature, not a 2022 observation file</x:v>
      </x:c>
    </x:row>
    <x:row r="51" ht="80" customHeight="1">
      <x:c r="A51" s="28" t="str">
        <x:v>L050</x:v>
      </x:c>
      <x:c r="B51" s="29" t="str">
        <x:v>2.3;2.6</x:v>
      </x:c>
      <x:c r="C51" s="29" t="str">
        <x:v>Refereed conference paper</x:v>
      </x:c>
      <x:c r="D51" s="29" t="str">
        <x:v>Hundman, K.; Constantinou, V.; Laporte, C.; Colwell, I.; Soderstrom, T.</x:v>
      </x:c>
      <x:c r="E51" s="29" t="n">
        <x:v>2018</x:v>
      </x:c>
      <x:c r="F51" s="29" t="str">
        <x:v>Detecting spacecraft anomalies using LSTMs and nonparametric dynamic thresholding</x:v>
      </x:c>
      <x:c r="G51" s="29" t="str">
        <x:v>Proceedings of the 24th ACM SIGKDD International Conference on Knowledge Discovery &amp; Data Mining</x:v>
      </x:c>
      <x:c r="H51" s="29" t="str"/>
      <x:c r="I51" s="29" t="str">
        <x:v>387–395</x:v>
      </x:c>
      <x:c r="J51" s="29" t="str">
        <x:v>10.1145/3219819.3219845</x:v>
      </x:c>
      <x:c r="K51" s="29" t="str">
        <x:v>NASA/JPL / coauthors / ACM</x:v>
      </x:c>
      <x:c r="L51" s="29" t="str">
        <x:v>USA</x:v>
      </x:c>
      <x:c r="M51" s="29" t="str">
        <x:v>https://arxiv.org/abs/1802.04431</x:v>
      </x:c>
      <x:c r="N51" s="29" t="str">
        <x:v>Hundman, K., Constantinou, V., Laporte, C., Colwell, I., &amp; Soderstrom, T. (2018). Detecting spacecraft anomalies using LSTMs and nonparametric dynamic thresholding. Proceedings of the 24th ACM SIGKDD International Conference on Knowledge Discovery &amp; Data Mining, 387–395. https://doi.org/10.1145/3219819.3219845</x:v>
      </x:c>
      <x:c r="O51" s="29" t="str">
        <x:v>Telemetry anomaly detection, thresholds and false positives. MSL/SMAP data are not OPS-SAT or a substitute simultaneous A leg.</x:v>
      </x:c>
      <x:c r="P51" s="29" t="str">
        <x:v>Publisher/author metadata and abstract checked</x:v>
      </x:c>
      <x:c r="Q51" s="29" t="str">
        <x:v>Candidate — full-text selection pending</x:v>
      </x:c>
      <x:c r="R51" s="29" t="str">
        <x:v>Verify citation formatting against DOI export</x:v>
      </x:c>
      <x:c r="S51" s="30" t="str">
        <x:v>N/A — supporting literature, not a 2022 observation file</x:v>
      </x:c>
    </x:row>
    <x:row r="52" ht="80" customHeight="1">
      <x:c r="A52" s="28" t="str">
        <x:v>L051</x:v>
      </x:c>
      <x:c r="B52" s="29" t="str">
        <x:v>2.3;2.5;2.6</x:v>
      </x:c>
      <x:c r="C52" s="29" t="str">
        <x:v>Journal article</x:v>
      </x:c>
      <x:c r="D52" s="29" t="str">
        <x:v>Nalepa, J.; Myller, M.; Andrzejewski, J.; Benecki, P.; Piechaczek, S.; Kostrzewa, D.</x:v>
      </x:c>
      <x:c r="E52" s="29" t="n">
        <x:v>2022</x:v>
      </x:c>
      <x:c r="F52" s="29" t="str">
        <x:v>Evaluating algorithms for anomaly detection in satellite telemetry data</x:v>
      </x:c>
      <x:c r="G52" s="29" t="str">
        <x:v>Acta Astronautica</x:v>
      </x:c>
      <x:c r="H52" s="29" t="str">
        <x:v>198</x:v>
      </x:c>
      <x:c r="I52" s="29" t="str">
        <x:v>689–701</x:v>
      </x:c>
      <x:c r="J52" s="29" t="str">
        <x:v>10.1016/j.actaastro.2022.06.026</x:v>
      </x:c>
      <x:c r="K52" s="29" t="str">
        <x:v>Silesian University of Technology / KP Labs / coauthors</x:v>
      </x:c>
      <x:c r="L52" s="29" t="str">
        <x:v>Poland</x:v>
      </x:c>
      <x:c r="M52" s="29" t="str">
        <x:v>https://www.sciencedirect.com/science/article/pii/S0094576522003162</x:v>
      </x:c>
      <x:c r="N52" s="29" t="str">
        <x:v>Nalepa, J., Myller, M., Andrzejewski, J., Benecki, P., Piechaczek, S., &amp; Kostrzewa, D. (2022). Evaluating algorithms for anomaly detection in satellite telemetry data. Acta Astronautica, 198, 689–701. https://doi.org/10.1016/j.actaastro.2022.06.026</x:v>
      </x:c>
      <x:c r="O52" s="29" t="str">
        <x:v>Time-sensitive detection metrics versus overlap-only scores; useful warning against overstating analytic performance.</x:v>
      </x:c>
      <x:c r="P52" s="29" t="str">
        <x:v>Publisher/author metadata and abstract checked</x:v>
      </x:c>
      <x:c r="Q52" s="29" t="str">
        <x:v>Candidate — full-text selection pending</x:v>
      </x:c>
      <x:c r="R52" s="29" t="str">
        <x:v>Verify citation formatting against DOI export</x:v>
      </x:c>
      <x:c r="S52" s="30" t="str">
        <x:v>N/A — supporting literature, not a 2022 observation file</x:v>
      </x:c>
    </x:row>
    <x:row r="53" ht="80" customHeight="1">
      <x:c r="A53" s="28" t="str">
        <x:v>L052</x:v>
      </x:c>
      <x:c r="B53" s="29" t="str">
        <x:v>2.4</x:v>
      </x:c>
      <x:c r="C53" s="29" t="str">
        <x:v>Journal article</x:v>
      </x:c>
      <x:c r="D53" s="29" t="str">
        <x:v>Kintner, P. M.; Ledvina, B. M.; de Paula, E. R.</x:v>
      </x:c>
      <x:c r="E53" s="29" t="n">
        <x:v>2007</x:v>
      </x:c>
      <x:c r="F53" s="29" t="str">
        <x:v>GPS and ionospheric scintillations</x:v>
      </x:c>
      <x:c r="G53" s="29" t="str">
        <x:v>Space Weather</x:v>
      </x:c>
      <x:c r="H53" s="29" t="str">
        <x:v>5</x:v>
      </x:c>
      <x:c r="I53" s="29" t="str">
        <x:v>S09003</x:v>
      </x:c>
      <x:c r="J53" s="29" t="str">
        <x:v>10.1029/2006SW000260</x:v>
      </x:c>
      <x:c r="K53" s="29" t="str">
        <x:v>Cornell University / INPE / coauthors</x:v>
      </x:c>
      <x:c r="L53" s="29" t="str">
        <x:v>USA; Brazil</x:v>
      </x:c>
      <x:c r="M53" s="29" t="str">
        <x:v>https://agupubs.onlinelibrary.wiley.com/doi/abs/10.1029/2006SW000260</x:v>
      </x:c>
      <x:c r="N53" s="29" t="str">
        <x:v>Kintner, P. M., Ledvina, B. M., &amp; de Paula, E. R. (2007). GPS and ionospheric scintillations. Space Weather, 5, S09003. https://doi.org/10.1029/2006SW000260</x:v>
      </x:c>
      <x:c r="O53" s="29" t="str">
        <x:v>Ionospheric propagation mechanisms. GPS-band results cannot automatically be assigned to the OPS-SAT UHF path.</x:v>
      </x:c>
      <x:c r="P53" s="29" t="str">
        <x:v>Publisher/author metadata and abstract checked</x:v>
      </x:c>
      <x:c r="Q53" s="29" t="str">
        <x:v>Candidate — full-text selection pending</x:v>
      </x:c>
      <x:c r="R53" s="29" t="str">
        <x:v>Verify citation formatting against DOI export</x:v>
      </x:c>
      <x:c r="S53" s="30" t="str">
        <x:v>N/A — supporting literature, not a 2022 observation file</x:v>
      </x:c>
    </x:row>
    <x:row r="54" ht="80" customHeight="1">
      <x:c r="A54" s="28" t="str">
        <x:v>L053</x:v>
      </x:c>
      <x:c r="B54" s="29" t="str">
        <x:v>2.4;2.6</x:v>
      </x:c>
      <x:c r="C54" s="29" t="str">
        <x:v>Journal article</x:v>
      </x:c>
      <x:c r="D54" s="29" t="str">
        <x:v>Smith, C. W.; L'Heureux, J.; Ness, N. F.; Acuña, M. H.; Burlaga, L. F.; Scheifele, J.</x:v>
      </x:c>
      <x:c r="E54" s="29" t="n">
        <x:v>1998</x:v>
      </x:c>
      <x:c r="F54" s="29" t="str">
        <x:v>The ACE Magnetic Fields Experiment</x:v>
      </x:c>
      <x:c r="G54" s="29" t="str">
        <x:v>Space Science Reviews</x:v>
      </x:c>
      <x:c r="H54" s="29" t="str">
        <x:v>86</x:v>
      </x:c>
      <x:c r="I54" s="29" t="str">
        <x:v>613–632</x:v>
      </x:c>
      <x:c r="J54" s="29" t="str">
        <x:v>10.1023/A:1005092216668</x:v>
      </x:c>
      <x:c r="K54" s="29" t="str">
        <x:v>University of Delaware / NASA Goddard</x:v>
      </x:c>
      <x:c r="L54" s="29" t="str">
        <x:v>USA</x:v>
      </x:c>
      <x:c r="M54" s="29" t="str">
        <x:v>https://link.springer.com/article/10.1023/A:1005092216668</x:v>
      </x:c>
      <x:c r="N54" s="29" t="str">
        <x:v>Smith, C. W., L'Heureux, J., Ness, N. F., Acuña, M. H., Burlaga, L. F., &amp; Scheifele, J. (1998). The ACE Magnetic Fields Experiment. Space Science Reviews, 86, 613–632. https://doi.org/10.1023/A:1005092216668</x:v>
      </x:c>
      <x:c r="O54" s="29" t="str">
        <x:v>Instrument provenance for upstream magnetic data. Advanced Composition Explorer is not Carlo's ACE acronym; overlaps the OMNI source family.</x:v>
      </x:c>
      <x:c r="P54" s="29" t="str">
        <x:v>Publisher/author metadata and abstract checked</x:v>
      </x:c>
      <x:c r="Q54" s="29" t="str">
        <x:v>Candidate — full-text selection pending</x:v>
      </x:c>
      <x:c r="R54" s="29" t="str">
        <x:v>Verify citation formatting against DOI export</x:v>
      </x:c>
      <x:c r="S54" s="30" t="str">
        <x:v>N/A — supporting literature, not a 2022 observation file</x:v>
      </x:c>
    </x:row>
    <x:row r="55" ht="93" customHeight="1">
      <x:c r="A55" s="28" t="str">
        <x:v>L054</x:v>
      </x:c>
      <x:c r="B55" s="29" t="str">
        <x:v>2.4;2.6</x:v>
      </x:c>
      <x:c r="C55" s="29" t="str">
        <x:v>Journal article</x:v>
      </x:c>
      <x:c r="D55" s="29" t="str">
        <x:v>Lepping, R. P.; Acuña, M. H.; Burlaga, L. F.; Farrell, W. M.; Slavin, J. A.; Schatten, K. H.; Mariani, F.; Ness, N. F.; Neubauer, F. M.; Whang, Y. C.; Byrnes, J. B.; Kennon, R. S.; Panetta, P. V.; Scheifele, J.; Worley, E. M.</x:v>
      </x:c>
      <x:c r="E55" s="29" t="n">
        <x:v>1995</x:v>
      </x:c>
      <x:c r="F55" s="29" t="str">
        <x:v>The WIND magnetic field investigation</x:v>
      </x:c>
      <x:c r="G55" s="29" t="str">
        <x:v>Space Science Reviews</x:v>
      </x:c>
      <x:c r="H55" s="29" t="str">
        <x:v>71</x:v>
      </x:c>
      <x:c r="I55" s="29" t="str">
        <x:v>207–229</x:v>
      </x:c>
      <x:c r="J55" s="29" t="str">
        <x:v>10.1007/BF00751330</x:v>
      </x:c>
      <x:c r="K55" s="29" t="str">
        <x:v>NASA Goddard / Wind MFI instrument team</x:v>
      </x:c>
      <x:c r="L55" s="29" t="str">
        <x:v>USA; Italy; Germany</x:v>
      </x:c>
      <x:c r="M55" s="29" t="str">
        <x:v>https://link.springer.com/article/10.1007/BF00751330</x:v>
      </x:c>
      <x:c r="N55" s="29" t="str">
        <x:v>Lepping, R. P., Acuña, M. H., Burlaga, L. F., Farrell, W. M., Slavin, J. A., Schatten, K. H., Mariani, F., Ness, N. F., Neubauer, F. M., Whang, Y. C., Byrnes, J. B., Kennon, R. S., Panetta, P. V., Scheifele, J., &amp; Worley, E. M. (1995). The WIND magnetic field investigation. Space Science Reviews, 71, 207–229. https://doi.org/10.1007/BF00751330</x:v>
      </x:c>
      <x:c r="O55" s="29" t="str">
        <x:v>Instrument/cadence and coordinate provenance for magnetic-field measurements; upstream monitor, not local OPS-SAT exposure.</x:v>
      </x:c>
      <x:c r="P55" s="29" t="str">
        <x:v>Publisher/author metadata and abstract checked</x:v>
      </x:c>
      <x:c r="Q55" s="29" t="str">
        <x:v>Candidate — full-text selection pending</x:v>
      </x:c>
      <x:c r="R55" s="29" t="str">
        <x:v>Verify citation formatting against DOI export</x:v>
      </x:c>
      <x:c r="S55" s="30" t="str">
        <x:v>N/A — supporting literature, not a 2022 observation file</x:v>
      </x:c>
    </x:row>
    <x:row r="56" ht="93" customHeight="1">
      <x:c r="A56" s="28" t="str">
        <x:v>L055</x:v>
      </x:c>
      <x:c r="B56" s="29" t="str">
        <x:v>2.4;2.6</x:v>
      </x:c>
      <x:c r="C56" s="29" t="str">
        <x:v>Journal article</x:v>
      </x:c>
      <x:c r="D56" s="29" t="str">
        <x:v>Ogilvie, K. W.; Chornay, D. J.; Fritzenreiter, R. J.; Hunsaker, F.; Keller, J.; Lobell, J.; Miller, G.; Scudder, J. D.; Sittler, E. C.; Torbert, R. B.; Bodet, D.; Needell, G.; Lazarus, A. J.; Steinberg, J. T.; Tappan, J. H.; Mavretic, A.; Gergin, E.</x:v>
      </x:c>
      <x:c r="E56" s="29" t="n">
        <x:v>1995</x:v>
      </x:c>
      <x:c r="F56" s="29" t="str">
        <x:v>SWE, a comprehensive plasma instrument for the WIND spacecraft</x:v>
      </x:c>
      <x:c r="G56" s="29" t="str">
        <x:v>Space Science Reviews</x:v>
      </x:c>
      <x:c r="H56" s="29" t="str">
        <x:v>71</x:v>
      </x:c>
      <x:c r="I56" s="29" t="str">
        <x:v>55–77</x:v>
      </x:c>
      <x:c r="J56" s="29" t="str">
        <x:v>10.1007/BF00751326</x:v>
      </x:c>
      <x:c r="K56" s="29" t="str">
        <x:v>NASA Goddard / MIT / University of New Hampshire / instrument team</x:v>
      </x:c>
      <x:c r="L56" s="29" t="str">
        <x:v>USA</x:v>
      </x:c>
      <x:c r="M56" s="29" t="str">
        <x:v>https://link.springer.com/article/10.1007/BF00751326</x:v>
      </x:c>
      <x:c r="N56" s="29" t="str">
        <x:v>Ogilvie, K. W., Chornay, D. J., Fritzenreiter, R. J., Hunsaker, F., Keller, J., Lobell, J., Miller, G., Scudder, J. D., Sittler, E. C., Torbert, R. B., Bodet, D., Needell, G., Lazarus, A. J., Steinberg, J. T., Tappan, J. H., Mavretic, A., &amp; Gergin, E. (1995). SWE, a comprehensive plasma instrument for the WIND spacecraft. Space Science Reviews, 71, 55–77. https://doi.org/10.1007/BF00751326</x:v>
      </x:c>
      <x:c r="O56" s="29" t="str">
        <x:v>Plasma measurement definitions and provenance; investigate timing transformations before comparing with near-Earth events.</x:v>
      </x:c>
      <x:c r="P56" s="29" t="str">
        <x:v>Publisher/author metadata and abstract checked</x:v>
      </x:c>
      <x:c r="Q56" s="29" t="str">
        <x:v>Candidate — full-text selection pending</x:v>
      </x:c>
      <x:c r="R56" s="29" t="str">
        <x:v>Verify citation formatting against DOI export</x:v>
      </x:c>
      <x:c r="S56" s="30" t="str">
        <x:v>N/A — supporting literature, not a 2022 observation file</x:v>
      </x:c>
    </x:row>
    <x:row r="57" ht="80" customHeight="1">
      <x:c r="A57" s="28" t="str">
        <x:v>L056</x:v>
      </x:c>
      <x:c r="B57" s="29" t="str">
        <x:v>2.4;2.6</x:v>
      </x:c>
      <x:c r="C57" s="29" t="str">
        <x:v>Journal article</x:v>
      </x:c>
      <x:c r="D57" s="29" t="str">
        <x:v>Coster, A.; Williams, J.; Weatherwax, A.; Rideout, W.; Herne, D.</x:v>
      </x:c>
      <x:c r="E57" s="29" t="n">
        <x:v>2013</x:v>
      </x:c>
      <x:c r="F57" s="29" t="str">
        <x:v>Accuracy of GPS total electron content: GPS receiver bias temperature dependence</x:v>
      </x:c>
      <x:c r="G57" s="29" t="str">
        <x:v>Radio Science</x:v>
      </x:c>
      <x:c r="H57" s="29" t="str">
        <x:v>48(2)</x:v>
      </x:c>
      <x:c r="I57" s="29" t="str">
        <x:v>190–196</x:v>
      </x:c>
      <x:c r="J57" s="29" t="str">
        <x:v>10.1002/rds.20011</x:v>
      </x:c>
      <x:c r="K57" s="29" t="str">
        <x:v>MIT Haystack / Siena College / Curtin University</x:v>
      </x:c>
      <x:c r="L57" s="29" t="str">
        <x:v>USA; Australia</x:v>
      </x:c>
      <x:c r="M57" s="29" t="str">
        <x:v>https://agupubs.onlinelibrary.wiley.com/doi/10.1002/rds.20011</x:v>
      </x:c>
      <x:c r="N57" s="29" t="str">
        <x:v>Coster, A., Williams, J., Weatherwax, A., Rideout, W., &amp; Herne, D. (2013). Accuracy of GPS total electron content: GPS receiver bias temperature dependence. Radio Science, 48(2), 190–196. https://doi.org/10.1002/rds.20011</x:v>
      </x:c>
      <x:c r="O57" s="29" t="str">
        <x:v>Sensor-specific bias and temperature effects. Supports QC for ENV series and cautions against uncorrected multi-sensor pooling.</x:v>
      </x:c>
      <x:c r="P57" s="29" t="str">
        <x:v>Publisher/author metadata and abstract checked</x:v>
      </x:c>
      <x:c r="Q57" s="29" t="str">
        <x:v>Candidate — full-text selection pending</x:v>
      </x:c>
      <x:c r="R57" s="29" t="str">
        <x:v>Verify citation formatting against DOI export</x:v>
      </x:c>
      <x:c r="S57" s="30" t="str">
        <x:v>N/A — supporting literature, not a 2022 observation file</x:v>
      </x:c>
    </x:row>
    <x:row r="58" ht="80" customHeight="1">
      <x:c r="A58" s="28" t="str">
        <x:v>L057</x:v>
      </x:c>
      <x:c r="B58" s="29" t="str">
        <x:v>2.5</x:v>
      </x:c>
      <x:c r="C58" s="29" t="str">
        <x:v>Journal article</x:v>
      </x:c>
      <x:c r="D58" s="29" t="str">
        <x:v>Morris, M. D.</x:v>
      </x:c>
      <x:c r="E58" s="29" t="n">
        <x:v>1991</x:v>
      </x:c>
      <x:c r="F58" s="29" t="str">
        <x:v>Factorial sampling plans for preliminary computational experiments</x:v>
      </x:c>
      <x:c r="G58" s="29" t="str">
        <x:v>Technometrics</x:v>
      </x:c>
      <x:c r="H58" s="29" t="str">
        <x:v>33(2)</x:v>
      </x:c>
      <x:c r="I58" s="29" t="str">
        <x:v>161–174</x:v>
      </x:c>
      <x:c r="J58" s="29" t="str">
        <x:v>10.1080/00401706.1991.10484804</x:v>
      </x:c>
      <x:c r="K58" s="29" t="str">
        <x:v>Oak Ridge National Laboratory</x:v>
      </x:c>
      <x:c r="L58" s="29" t="str">
        <x:v>USA</x:v>
      </x:c>
      <x:c r="M58" s="29" t="str">
        <x:v>https://www.tandfonline.com/doi/abs/10.1080/00401706.1991.10484804</x:v>
      </x:c>
      <x:c r="N58" s="29" t="str">
        <x:v>Morris, M. D. (1991). Factorial sampling plans for preliminary computational experiments. Technometrics, 33(2), 161–174. https://doi.org/10.1080/00401706.1991.10484804</x:v>
      </x:c>
      <x:c r="O58" s="29" t="str">
        <x:v>Factor screening for the scaled DES. Select influential controls without assuming architecture superiority.</x:v>
      </x:c>
      <x:c r="P58" s="29" t="str">
        <x:v>Publisher/author metadata and abstract checked</x:v>
      </x:c>
      <x:c r="Q58" s="29" t="str">
        <x:v>Candidate — full-text selection pending</x:v>
      </x:c>
      <x:c r="R58" s="29" t="str">
        <x:v>Use original issue year 1991, not the 2012 online posting date.</x:v>
      </x:c>
      <x:c r="S58" s="30" t="str">
        <x:v>N/A — supporting literature, not a 2022 observation file</x:v>
      </x:c>
    </x:row>
    <x:row r="59" ht="80" customHeight="1">
      <x:c r="A59" s="28" t="str">
        <x:v>L058</x:v>
      </x:c>
      <x:c r="B59" s="29" t="str">
        <x:v>2.5;2.7</x:v>
      </x:c>
      <x:c r="C59" s="29" t="str">
        <x:v>Journal article</x:v>
      </x:c>
      <x:c r="D59" s="29" t="str">
        <x:v>Saltelli, A.; Annoni, P.; Azzini, I.; Campolongo, F.; Ratto, M.; Tarantola, S.</x:v>
      </x:c>
      <x:c r="E59" s="29" t="n">
        <x:v>2010</x:v>
      </x:c>
      <x:c r="F59" s="29" t="str">
        <x:v>Variance based sensitivity analysis of model output. Design and estimator for the total sensitivity index</x:v>
      </x:c>
      <x:c r="G59" s="29" t="str">
        <x:v>Computer Physics Communications</x:v>
      </x:c>
      <x:c r="H59" s="29" t="str">
        <x:v>181(2)</x:v>
      </x:c>
      <x:c r="I59" s="29" t="str">
        <x:v>259–270</x:v>
      </x:c>
      <x:c r="J59" s="29" t="str">
        <x:v>10.1016/j.cpc.2009.09.018</x:v>
      </x:c>
      <x:c r="K59" s="29" t="str">
        <x:v>European Commission Joint Research Centre / coauthors</x:v>
      </x:c>
      <x:c r="L59" s="29" t="str">
        <x:v>Italy / European Commission</x:v>
      </x:c>
      <x:c r="M59" s="29" t="str">
        <x:v>https://doi.org/10.1016/j.cpc.2009.09.018</x:v>
      </x:c>
      <x:c r="N59" s="29" t="str">
        <x:v>Saltelli, A., Annoni, P., Azzini, I., Campolongo, F., Ratto, M., &amp; Tarantola, S. (2010). Variance based sensitivity analysis of model output. Design and estimator for the total sensitivity index. Computer Physics Communications, 181(2), 259–270. https://doi.org/10.1016/j.cpc.2009.09.018</x:v>
      </x:c>
      <x:c r="O59" s="29" t="str">
        <x:v>Global sensitivity and interaction effects; distinguish sensitivity to imposed parameters from causal inference about environment.</x:v>
      </x:c>
      <x:c r="P59" s="29" t="str">
        <x:v>Publisher/author metadata and abstract checked</x:v>
      </x:c>
      <x:c r="Q59" s="29" t="str">
        <x:v>Candidate — full-text selection pending</x:v>
      </x:c>
      <x:c r="R59" s="29" t="str">
        <x:v>Verify citation formatting against DOI export</x:v>
      </x:c>
      <x:c r="S59" s="30" t="str">
        <x:v>N/A — supporting literature, not a 2022 observation file</x:v>
      </x:c>
    </x:row>
    <x:row r="60" ht="80" customHeight="1">
      <x:c r="A60" s="28" t="str">
        <x:v>L059</x:v>
      </x:c>
      <x:c r="B60" s="29" t="str">
        <x:v>2.6;2.7</x:v>
      </x:c>
      <x:c r="C60" s="29" t="str">
        <x:v>Journal article</x:v>
      </x:c>
      <x:c r="D60" s="29" t="str">
        <x:v>Hall, D. L.; Llinas, J.</x:v>
      </x:c>
      <x:c r="E60" s="29" t="n">
        <x:v>1997</x:v>
      </x:c>
      <x:c r="F60" s="29" t="str">
        <x:v>An introduction to multisensor data fusion</x:v>
      </x:c>
      <x:c r="G60" s="29" t="str">
        <x:v>Proceedings of the IEEE</x:v>
      </x:c>
      <x:c r="H60" s="29" t="str">
        <x:v>85(1)</x:v>
      </x:c>
      <x:c r="I60" s="29" t="str">
        <x:v>6–23</x:v>
      </x:c>
      <x:c r="J60" s="29" t="str">
        <x:v>10.1109/5.554205</x:v>
      </x:c>
      <x:c r="K60" s="29" t="str">
        <x:v>Pennsylvania State University / SUNY Buffalo / IEEE</x:v>
      </x:c>
      <x:c r="L60" s="29" t="str">
        <x:v>USA</x:v>
      </x:c>
      <x:c r="M60" s="29" t="str">
        <x:v>https://researchconnect.buffalo.edu/en/publications/an-introduction-to-multisensor-data-fusion/</x:v>
      </x:c>
      <x:c r="N60" s="29" t="str">
        <x:v>Hall, D. L., &amp; Llinas, J. (1997). An introduction to multisensor data fusion. Proceedings of the IEEE, 85(1), 6–23. https://doi.org/10.1109/5.554205</x:v>
      </x:c>
      <x:c r="O60" s="29" t="str">
        <x:v>Process models and levels of fusion; timestamp alignment is one requirement, not sufficient proof of semantic compatibility.</x:v>
      </x:c>
      <x:c r="P60" s="29" t="str">
        <x:v>Publisher/author metadata and abstract checked</x:v>
      </x:c>
      <x:c r="Q60" s="29" t="str">
        <x:v>Candidate — full-text selection pending</x:v>
      </x:c>
      <x:c r="R60" s="29" t="str">
        <x:v>Verify citation formatting against DOI export</x:v>
      </x:c>
      <x:c r="S60" s="30" t="str">
        <x:v>N/A — supporting literature, not a 2022 observation file</x:v>
      </x:c>
    </x:row>
    <x:row r="61" ht="80" customHeight="1">
      <x:c r="A61" s="28" t="str">
        <x:v>L060</x:v>
      </x:c>
      <x:c r="B61" s="29" t="str">
        <x:v>2.5;2.6</x:v>
      </x:c>
      <x:c r="C61" s="29" t="str">
        <x:v>Journal article</x:v>
      </x:c>
      <x:c r="D61" s="29" t="str">
        <x:v>Künsch, H. R.</x:v>
      </x:c>
      <x:c r="E61" s="29" t="n">
        <x:v>1989</x:v>
      </x:c>
      <x:c r="F61" s="29" t="str">
        <x:v>The jackknife and the bootstrap for general stationary observations</x:v>
      </x:c>
      <x:c r="G61" s="29" t="str">
        <x:v>The Annals of Statistics</x:v>
      </x:c>
      <x:c r="H61" s="29" t="str">
        <x:v>17(3)</x:v>
      </x:c>
      <x:c r="I61" s="29" t="str">
        <x:v>1217–1241</x:v>
      </x:c>
      <x:c r="J61" s="29" t="str">
        <x:v>10.1214/aos/1176347265</x:v>
      </x:c>
      <x:c r="K61" s="29" t="str">
        <x:v>ETH Zürich / Institute of Mathematical Statistics</x:v>
      </x:c>
      <x:c r="L61" s="29" t="str">
        <x:v>Switzerland</x:v>
      </x:c>
      <x:c r="M61" s="29" t="str">
        <x:v>https://doi.org/10.1214/aos/1176347265</x:v>
      </x:c>
      <x:c r="N61" s="29" t="str">
        <x:v>Künsch, H. R. (1989). The jackknife and the bootstrap for general stationary observations. The Annals of Statistics, 17(3), 1217–1241. https://doi.org/10.1214/aos/1176347265</x:v>
      </x:c>
      <x:c r="O61" s="29" t="str">
        <x:v>Block resampling for dependent observations. Do not treat adjacent/reused telemetry records as independent replications.</x:v>
      </x:c>
      <x:c r="P61" s="29" t="str">
        <x:v>Original DOI and bibliography corroborated in technical documentation; publisher text access unresolved</x:v>
      </x:c>
      <x:c r="Q61" s="29" t="str">
        <x:v>Candidate — full-text selection pending</x:v>
      </x:c>
      <x:c r="R61" s="29" t="str">
        <x:v>Retrieve original article and check assumptions before method adoption; original year 1989, not later online date.</x:v>
      </x:c>
      <x:c r="S61" s="30" t="str">
        <x:v>N/A — supporting literature, not a 2022 observation file</x:v>
      </x:c>
    </x:row>
    <x:row r="62" ht="108" customHeight="1">
      <x:c r="A62" s="49" t="str">
        <x:v>L061</x:v>
      </x:c>
      <x:c r="B62" s="49" t="str">
        <x:v>2.3</x:v>
      </x:c>
      <x:c r="C62" s="49" t="str">
        <x:v>Refereed conference paper</x:v>
      </x:c>
      <x:c r="D62" s="49" t="str">
        <x:v>Amershi, S., Weld, D., Vorvoreanu, M., Fourney, A., Nushi, B., Collisson, P., Suh, J., Iqbal, S., Bennett, P. N., Inkpen, K., Teevan, J., Kikin-Gil, R., &amp; Horvitz, E</x:v>
      </x:c>
      <x:c r="E62" s="49" t="n">
        <x:v>2019</x:v>
      </x:c>
      <x:c r="F62" s="49" t="str">
        <x:v>Guidelines for human-AI interaction</x:v>
      </x:c>
      <x:c r="G62" s="49" t="str">
        <x:v>Proceedings of the 2019 CHI Conference on Human Factors in Computing Systems</x:v>
      </x:c>
      <x:c r="H62" s="49" t="str"/>
      <x:c r="I62" s="49" t="str">
        <x:v>Article 3; 1–13</x:v>
      </x:c>
      <x:c r="J62" s="49" t="str">
        <x:v>10.1145/3290605.3300233</x:v>
      </x:c>
      <x:c r="K62" s="49" t="str">
        <x:v>See author/publisher record; not established by supplied reference</x:v>
      </x:c>
      <x:c r="L62" s="49" t="str">
        <x:v>Not established by supplied reference</x:v>
      </x:c>
      <x:c r="M62" s="49" t="str">
        <x:v>https://doi.org/10.1145/3290605.3300233</x:v>
      </x:c>
      <x:c r="N62" s="49" t="str">
        <x:v>Amershi, S., Weld, D., Vorvoreanu, M., Fourney, A., Nushi, B., Collisson, P., Suh, J., Iqbal, S., Bennett, P. N., Inkpen, K., Teevan, J., Kikin-Gil, R., &amp; Horvitz, E. (2019). Guidelines for human-AI interaction. In Proceedings of the 2019 CHI Conference on Human Factors in Computing Systems (Article 3, pp. 1–13). Association for Computing Machinery. https://doi.org/10.1145/3290605.3300233</x:v>
      </x:c>
      <x:c r="O62" s="49" t="str">
        <x:v>Communications-aware supervision and traceable products. Supporting literature; use within the cited study's measurement boundary.</x:v>
      </x:c>
      <x:c r="P62" s="49" t="str">
        <x:v>Manuscript citation reconciled; original publication not re-audited</x:v>
      </x:c>
      <x:c r="Q62" s="49" t="str">
        <x:v>Candidate — full-text selection pending</x:v>
      </x:c>
      <x:c r="R62" s="49" t="str">
        <x:v>Cited in proposed §2.3, body pp. 12; Carlo review pending; see Ch2 Citation Reconciliation.</x:v>
      </x:c>
      <x:c r="S62" s="49" t="str">
        <x:v>N/A — supporting literature, not a 2022 observation file</x:v>
      </x:c>
    </x:row>
    <x:row r="63" ht="108" customHeight="1">
      <x:c r="A63" s="49" t="str">
        <x:v>L062</x:v>
      </x:c>
      <x:c r="B63" s="49" t="str">
        <x:v>2.3</x:v>
      </x:c>
      <x:c r="C63" s="49" t="str">
        <x:v>Journal article</x:v>
      </x:c>
      <x:c r="D63" s="49" t="str">
        <x:v>Bainbridge, L</x:v>
      </x:c>
      <x:c r="E63" s="49" t="n">
        <x:v>1983</x:v>
      </x:c>
      <x:c r="F63" s="49" t="str">
        <x:v>Ironies of automation</x:v>
      </x:c>
      <x:c r="G63" s="49" t="str">
        <x:v>Automatica</x:v>
      </x:c>
      <x:c r="H63" s="49" t="str">
        <x:v>19(6)</x:v>
      </x:c>
      <x:c r="I63" s="49" t="str">
        <x:v>775–779</x:v>
      </x:c>
      <x:c r="J63" s="49" t="str">
        <x:v>10.1016/0005-1098(83)90046-8</x:v>
      </x:c>
      <x:c r="K63" s="49" t="str">
        <x:v>See author/publisher record; not established by supplied reference</x:v>
      </x:c>
      <x:c r="L63" s="49" t="str">
        <x:v>Not established by supplied reference</x:v>
      </x:c>
      <x:c r="M63" s="49" t="str">
        <x:v>https://doi.org/10.1016/0005-1098(83)90046-8</x:v>
      </x:c>
      <x:c r="N63" s="49" t="str">
        <x:v>Bainbridge, L. (1983). Ironies of automation. Automatica, 19(6), 775–779. https://doi.org/10.1016/0005-1098(83)90046-8</x:v>
      </x:c>
      <x:c r="O63" s="49" t="str">
        <x:v>Situation awareness, reliance, and recovery. Supporting literature; use within the cited study's measurement boundary.</x:v>
      </x:c>
      <x:c r="P63" s="49" t="str">
        <x:v>Manuscript citation reconciled; original publication not re-audited</x:v>
      </x:c>
      <x:c r="Q63" s="49" t="str">
        <x:v>Candidate — full-text selection pending</x:v>
      </x:c>
      <x:c r="R63" s="49" t="str">
        <x:v>Cited in proposed §2.3, body pp. 10; Carlo review pending; see Ch2 Citation Reconciliation.</x:v>
      </x:c>
      <x:c r="S63" s="49" t="str">
        <x:v>N/A — supporting literature, not a 2022 observation file</x:v>
      </x:c>
    </x:row>
    <x:row r="64" ht="108" customHeight="1">
      <x:c r="A64" s="49" t="str">
        <x:v>L063</x:v>
      </x:c>
      <x:c r="B64" s="49" t="str">
        <x:v>2.3</x:v>
      </x:c>
      <x:c r="C64" s="49" t="str">
        <x:v>Refereed conference paper</x:v>
      </x:c>
      <x:c r="D64" s="49" t="str">
        <x:v>Denby, B., Chintalapudi, K., Chandra, R., Lucia, B., &amp; Noghabi, S</x:v>
      </x:c>
      <x:c r="E64" s="49" t="n">
        <x:v>2023</x:v>
      </x:c>
      <x:c r="F64" s="49" t="str">
        <x:v>Kodan: Addressing the computational bottleneck in space</x:v>
      </x:c>
      <x:c r="G64" s="49" t="str">
        <x:v>Proceedings of the 28th ACM International Conference on Architectural Support for Programming Languages and Operating Systems</x:v>
      </x:c>
      <x:c r="H64" s="49" t="str">
        <x:v>3</x:v>
      </x:c>
      <x:c r="I64" s="49" t="str">
        <x:v>392–403</x:v>
      </x:c>
      <x:c r="J64" s="49" t="str">
        <x:v>10.1145/3582016.3582043</x:v>
      </x:c>
      <x:c r="K64" s="49" t="str">
        <x:v>See author/publisher record; not established by supplied reference</x:v>
      </x:c>
      <x:c r="L64" s="49" t="str">
        <x:v>Not established by supplied reference</x:v>
      </x:c>
      <x:c r="M64" s="49" t="str">
        <x:v>https://doi.org/10.1145/3582016.3582043</x:v>
      </x:c>
      <x:c r="N64" s="49" t="str">
        <x:v>Denby, B., Chintalapudi, K., Chandra, R., Lucia, B., &amp; Noghabi, S. (2023). Kodan: Addressing the computational bottleneck in space. In Proceedings of the 28th ACM International Conference on Architectural Support for Programming Languages and Operating Systems, Volume 3 (pp. 392–403). Association for Computing Machinery. https://doi.org/10.1145/3582016.3582043</x:v>
      </x:c>
      <x:c r="O64" s="49" t="str">
        <x:v>Compute backlog; product reduction. Supporting literature; use within the cited study's measurement boundary.</x:v>
      </x:c>
      <x:c r="P64" s="49" t="str">
        <x:v>Manuscript citation reconciled; original publication not re-audited</x:v>
      </x:c>
      <x:c r="Q64" s="49" t="str">
        <x:v>Candidate — full-text selection pending</x:v>
      </x:c>
      <x:c r="R64" s="49" t="str">
        <x:v>Cited in proposed §2.3, body pp. 3–4; Carlo review pending; see Ch2 Citation Reconciliation.</x:v>
      </x:c>
      <x:c r="S64" s="49" t="str">
        <x:v>N/A — supporting literature, not a 2022 observation file</x:v>
      </x:c>
    </x:row>
    <x:row r="65" ht="108" customHeight="1">
      <x:c r="A65" s="49" t="str">
        <x:v>L064</x:v>
      </x:c>
      <x:c r="B65" s="49" t="str">
        <x:v>2.3</x:v>
      </x:c>
      <x:c r="C65" s="49" t="str">
        <x:v>Journal article</x:v>
      </x:c>
      <x:c r="D65" s="49" t="str">
        <x:v>Endsley, M. R., &amp; Kiris, E. O</x:v>
      </x:c>
      <x:c r="E65" s="49" t="n">
        <x:v>1995</x:v>
      </x:c>
      <x:c r="F65" s="49" t="str">
        <x:v>The out-of-the-loop performance problem and level of control in automation</x:v>
      </x:c>
      <x:c r="G65" s="49" t="str">
        <x:v>Human Factors</x:v>
      </x:c>
      <x:c r="H65" s="49" t="str">
        <x:v>37(2)</x:v>
      </x:c>
      <x:c r="I65" s="49" t="str">
        <x:v>381–394</x:v>
      </x:c>
      <x:c r="J65" s="49" t="str">
        <x:v>10.1518/001872095779064555</x:v>
      </x:c>
      <x:c r="K65" s="49" t="str">
        <x:v>See author/publisher record; not established by supplied reference</x:v>
      </x:c>
      <x:c r="L65" s="49" t="str">
        <x:v>Not established by supplied reference</x:v>
      </x:c>
      <x:c r="M65" s="49" t="str">
        <x:v>https://doi.org/10.1518/001872095779064555</x:v>
      </x:c>
      <x:c r="N65" s="49" t="str">
        <x:v>Endsley, M. R., &amp; Kiris, E. O. (1995). The out-of-the-loop performance problem and level of control in automation. Human Factors, 37(2), 381–394. https://doi.org/10.1518/001872095779064555</x:v>
      </x:c>
      <x:c r="O65" s="49" t="str">
        <x:v>Situation awareness and takeover. Supporting literature; use within the cited study's measurement boundary.</x:v>
      </x:c>
      <x:c r="P65" s="49" t="str">
        <x:v>Manuscript citation reconciled; original publication not re-audited</x:v>
      </x:c>
      <x:c r="Q65" s="49" t="str">
        <x:v>Candidate — full-text selection pending</x:v>
      </x:c>
      <x:c r="R65" s="49" t="str">
        <x:v>Cited in proposed §2.3, body pp. 10; Carlo review pending; see Ch2 Citation Reconciliation.</x:v>
      </x:c>
      <x:c r="S65" s="49" t="str">
        <x:v>N/A — supporting literature, not a 2022 observation file</x:v>
      </x:c>
    </x:row>
    <x:row r="66" ht="108" customHeight="1">
      <x:c r="A66" s="49" t="str">
        <x:v>L065</x:v>
      </x:c>
      <x:c r="B66" s="49" t="str">
        <x:v>2.3</x:v>
      </x:c>
      <x:c r="C66" s="49" t="str">
        <x:v>Refereed conference paper</x:v>
      </x:c>
      <x:c r="D66" s="49" t="str">
        <x:v>Geifman, Y., &amp; El-Yaniv, R</x:v>
      </x:c>
      <x:c r="E66" s="49" t="n">
        <x:v>2017</x:v>
      </x:c>
      <x:c r="F66" s="49" t="str">
        <x:v>Selective classification for deep neural networks</x:v>
      </x:c>
      <x:c r="G66" s="49" t="str">
        <x:v>Advances in Neural Information Processing Systems</x:v>
      </x:c>
      <x:c r="H66" s="49" t="str">
        <x:v>30</x:v>
      </x:c>
      <x:c r="I66" s="49" t="str"/>
      <x:c r="J66" s="49" t="str"/>
      <x:c r="K66" s="49" t="str">
        <x:v>See author/publisher record; not established by supplied reference</x:v>
      </x:c>
      <x:c r="L66" s="49" t="str">
        <x:v>Not established by supplied reference</x:v>
      </x:c>
      <x:c r="M66" s="49" t="str">
        <x:v>https://proceedings.neurips.cc/paper/2017/hash/4a8423d5e91fda00bb7e46540e2b0cf1-Abstract.html</x:v>
      </x:c>
      <x:c r="N66" s="49" t="str">
        <x:v>Geifman, Y., &amp; El-Yaniv, R. (2017). Selective classification for deep neural networks. In I. Guyon, U. von Luxburg, S. Bengio, H. Wallach, R. Fergus, S. Vishwanathan, &amp; R. Garnett (Eds.), Advances in neural information processing systems (Vol. 30). Curran Associates. https://proceedings.neurips.cc/paper/2017/hash/4a8423d5e91fda00bb7e46540e2b0cf1-Abstract.html</x:v>
      </x:c>
      <x:c r="O66" s="49" t="str">
        <x:v>Selective classification and referral. Supporting literature; use within the cited study's measurement boundary.</x:v>
      </x:c>
      <x:c r="P66" s="49" t="str">
        <x:v>Manuscript citation reconciled; original publication not re-audited</x:v>
      </x:c>
      <x:c r="Q66" s="49" t="str">
        <x:v>Candidate — full-text selection pending</x:v>
      </x:c>
      <x:c r="R66" s="49" t="str">
        <x:v>Cited in proposed §2.3, body pp. 11; Carlo review pending; see Ch2 Citation Reconciliation.</x:v>
      </x:c>
      <x:c r="S66" s="49" t="str">
        <x:v>N/A — supporting literature, not a 2022 observation file</x:v>
      </x:c>
    </x:row>
    <x:row r="67" ht="108" customHeight="1">
      <x:c r="A67" s="49" t="str">
        <x:v>L066</x:v>
      </x:c>
      <x:c r="B67" s="49" t="str">
        <x:v>2.3</x:v>
      </x:c>
      <x:c r="C67" s="49" t="str">
        <x:v>Refereed conference paper</x:v>
      </x:c>
      <x:c r="D67" s="49" t="str">
        <x:v>Guo, C., Pleiss, G., Sun, Y., &amp; Weinberger, K. Q</x:v>
      </x:c>
      <x:c r="E67" s="49" t="n">
        <x:v>2017</x:v>
      </x:c>
      <x:c r="F67" s="49" t="str">
        <x:v>On calibration of modern neural networks</x:v>
      </x:c>
      <x:c r="G67" s="49" t="str">
        <x:v>Proceedings of the 34th International Conference on Machine Learning</x:v>
      </x:c>
      <x:c r="H67" s="49" t="str">
        <x:v>70</x:v>
      </x:c>
      <x:c r="I67" s="49" t="str">
        <x:v>1321–1330</x:v>
      </x:c>
      <x:c r="J67" s="49" t="str"/>
      <x:c r="K67" s="49" t="str">
        <x:v>See author/publisher record; not established by supplied reference</x:v>
      </x:c>
      <x:c r="L67" s="49" t="str">
        <x:v>Not established by supplied reference</x:v>
      </x:c>
      <x:c r="M67" s="49" t="str">
        <x:v>https://proceedings.mlr.press/v70/guo17a.html</x:v>
      </x:c>
      <x:c r="N67" s="49" t="str">
        <x:v>Guo, C., Pleiss, G., Sun, Y., &amp; Weinberger, K. Q. (2017). On calibration of modern neural networks. In D. Precup &amp; Y. W. Teh (Eds.), Proceedings of the 34th International Conference on Machine Learning (Vol. 70, pp. 1321–1330). Proceedings of Machine Learning Research. https://proceedings.mlr.press/v70/guo17a.html</x:v>
      </x:c>
      <x:c r="O67" s="49" t="str">
        <x:v>Confidence calibration. Supporting literature; use within the cited study's measurement boundary.</x:v>
      </x:c>
      <x:c r="P67" s="49" t="str">
        <x:v>Manuscript citation reconciled; original publication not re-audited</x:v>
      </x:c>
      <x:c r="Q67" s="49" t="str">
        <x:v>Candidate — full-text selection pending</x:v>
      </x:c>
      <x:c r="R67" s="49" t="str">
        <x:v>Cited in proposed §2.3, body pp. 11; Carlo review pending; see Ch2 Citation Reconciliation.</x:v>
      </x:c>
      <x:c r="S67" s="49" t="str">
        <x:v>N/A — supporting literature, not a 2022 observation file</x:v>
      </x:c>
    </x:row>
    <x:row r="68" ht="108" customHeight="1">
      <x:c r="A68" s="49" t="str">
        <x:v>L067</x:v>
      </x:c>
      <x:c r="B68" s="49" t="str">
        <x:v>2.3</x:v>
      </x:c>
      <x:c r="C68" s="49" t="str">
        <x:v>Journal article</x:v>
      </x:c>
      <x:c r="D68" s="49" t="str">
        <x:v>Lee, J. D., &amp; See, K. A</x:v>
      </x:c>
      <x:c r="E68" s="49" t="n">
        <x:v>2004</x:v>
      </x:c>
      <x:c r="F68" s="49" t="str">
        <x:v>Trust in automation: Designing for appropriate reliance</x:v>
      </x:c>
      <x:c r="G68" s="49" t="str">
        <x:v>Human Factors</x:v>
      </x:c>
      <x:c r="H68" s="49" t="str">
        <x:v>46(1)</x:v>
      </x:c>
      <x:c r="I68" s="49" t="str">
        <x:v>50–80</x:v>
      </x:c>
      <x:c r="J68" s="49" t="str">
        <x:v>10.1518/hfes.46.1.50_30392</x:v>
      </x:c>
      <x:c r="K68" s="49" t="str">
        <x:v>See author/publisher record; not established by supplied reference</x:v>
      </x:c>
      <x:c r="L68" s="49" t="str">
        <x:v>Not established by supplied reference</x:v>
      </x:c>
      <x:c r="M68" s="49" t="str">
        <x:v>https://doi.org/10.1518/hfes.46.1.50_30392</x:v>
      </x:c>
      <x:c r="N68" s="49" t="str">
        <x:v>Lee, J. D., &amp; See, K. A. (2004). Trust in automation: Designing for appropriate reliance. Human Factors, 46(1), 50–80. https://doi.org/10.1518/hfes.46.1.50_30392</x:v>
      </x:c>
      <x:c r="O68" s="49" t="str">
        <x:v>Appropriate reliance. Supporting literature; use within the cited study's measurement boundary.</x:v>
      </x:c>
      <x:c r="P68" s="49" t="str">
        <x:v>Manuscript citation reconciled; original publication not re-audited</x:v>
      </x:c>
      <x:c r="Q68" s="49" t="str">
        <x:v>Candidate — full-text selection pending</x:v>
      </x:c>
      <x:c r="R68" s="49" t="str">
        <x:v>Cited in proposed §2.3, body pp. 10; Carlo review pending; see Ch2 Citation Reconciliation.</x:v>
      </x:c>
      <x:c r="S68" s="49" t="str">
        <x:v>N/A — supporting literature, not a 2022 observation file</x:v>
      </x:c>
    </x:row>
    <x:row r="69" ht="108" customHeight="1">
      <x:c r="A69" s="49" t="str">
        <x:v>L068</x:v>
      </x:c>
      <x:c r="B69" s="49" t="str">
        <x:v>2.3</x:v>
      </x:c>
      <x:c r="C69" s="49" t="str">
        <x:v>Journal article</x:v>
      </x:c>
      <x:c r="D69" s="49" t="str">
        <x:v>Parasuraman, R., &amp; Riley, V</x:v>
      </x:c>
      <x:c r="E69" s="49" t="n">
        <x:v>1997</x:v>
      </x:c>
      <x:c r="F69" s="49" t="str">
        <x:v>Humans and automation: Use, misuse, disuse, abuse</x:v>
      </x:c>
      <x:c r="G69" s="49" t="str">
        <x:v>Human Factors</x:v>
      </x:c>
      <x:c r="H69" s="49" t="str">
        <x:v>39(2)</x:v>
      </x:c>
      <x:c r="I69" s="49" t="str">
        <x:v>230–253</x:v>
      </x:c>
      <x:c r="J69" s="49" t="str">
        <x:v>10.1518/001872097778543886</x:v>
      </x:c>
      <x:c r="K69" s="49" t="str">
        <x:v>See author/publisher record; not established by supplied reference</x:v>
      </x:c>
      <x:c r="L69" s="49" t="str">
        <x:v>Not established by supplied reference</x:v>
      </x:c>
      <x:c r="M69" s="49" t="str">
        <x:v>https://doi.org/10.1518/001872097778543886</x:v>
      </x:c>
      <x:c r="N69" s="49" t="str">
        <x:v>Parasuraman, R., &amp; Riley, V. (1997). Humans and automation: Use, misuse, disuse, abuse. Human Factors, 39(2), 230–253. https://doi.org/10.1518/001872097778543886</x:v>
      </x:c>
      <x:c r="O69" s="49" t="str">
        <x:v>Use, misuse, disuse, and abuse. Supporting literature; use within the cited study's measurement boundary.</x:v>
      </x:c>
      <x:c r="P69" s="49" t="str">
        <x:v>Manuscript citation reconciled; original publication not re-audited</x:v>
      </x:c>
      <x:c r="Q69" s="49" t="str">
        <x:v>Candidate — full-text selection pending</x:v>
      </x:c>
      <x:c r="R69" s="49" t="str">
        <x:v>Cited in proposed §2.3, body pp. 10; Carlo review pending; see Ch2 Citation Reconciliation.</x:v>
      </x:c>
      <x:c r="S69" s="49" t="str">
        <x:v>N/A — supporting literature, not a 2022 observation file</x:v>
      </x:c>
    </x:row>
    <x:row r="70" ht="108" customHeight="1">
      <x:c r="A70" s="49" t="str">
        <x:v>L069</x:v>
      </x:c>
      <x:c r="B70" s="49" t="str">
        <x:v>2.3</x:v>
      </x:c>
      <x:c r="C70" s="49" t="str">
        <x:v>Journal article</x:v>
      </x:c>
      <x:c r="D70" s="49" t="str">
        <x:v>Parasuraman, R., Sheridan, T. B., &amp; Wickens, C. D</x:v>
      </x:c>
      <x:c r="E70" s="49" t="n">
        <x:v>2000</x:v>
      </x:c>
      <x:c r="F70" s="49" t="str">
        <x:v>A model for types and levels of human interaction with automation</x:v>
      </x:c>
      <x:c r="G70" s="49" t="str">
        <x:v>IEEE Transactions on Systems, Man, and Cybernetics—Part A: Systems and Humans</x:v>
      </x:c>
      <x:c r="H70" s="49" t="str">
        <x:v>30(3)</x:v>
      </x:c>
      <x:c r="I70" s="49" t="str">
        <x:v>286–297</x:v>
      </x:c>
      <x:c r="J70" s="49" t="str">
        <x:v>10.1109/3468.844354</x:v>
      </x:c>
      <x:c r="K70" s="49" t="str">
        <x:v>See author/publisher record; not established by supplied reference</x:v>
      </x:c>
      <x:c r="L70" s="49" t="str">
        <x:v>Not established by supplied reference</x:v>
      </x:c>
      <x:c r="M70" s="49" t="str">
        <x:v>https://doi.org/10.1109/3468.844354</x:v>
      </x:c>
      <x:c r="N70" s="49" t="str">
        <x:v>Parasuraman, R., Sheridan, T. B., &amp; Wickens, C. D. (2000). A model for types and levels of human interaction with automation. IEEE Transactions on Systems, Man, and Cybernetics—Part A: Systems and Humans, 30(3), 286–297. https://doi.org/10.1109/3468.844354</x:v>
      </x:c>
      <x:c r="O70" s="49" t="str">
        <x:v>Function allocation and decision authority. Supporting literature; use within the cited study's measurement boundary.</x:v>
      </x:c>
      <x:c r="P70" s="49" t="str">
        <x:v>Manuscript citation reconciled; original publication not re-audited</x:v>
      </x:c>
      <x:c r="Q70" s="49" t="str">
        <x:v>Candidate — full-text selection pending</x:v>
      </x:c>
      <x:c r="R70" s="49" t="str">
        <x:v>Cited in proposed §2.3, body pp. 9–10; Carlo review pending; see Ch2 Citation Reconciliation.</x:v>
      </x:c>
      <x:c r="S70" s="49" t="str">
        <x:v>N/A — supporting literature, not a 2022 observation file</x:v>
      </x:c>
    </x:row>
    <x:row r="71" ht="108" customHeight="1">
      <x:c r="A71" s="49" t="str">
        <x:v>L070</x:v>
      </x:c>
      <x:c r="B71" s="49" t="str">
        <x:v>2.3</x:v>
      </x:c>
      <x:c r="C71" s="49" t="str">
        <x:v>Journal article</x:v>
      </x:c>
      <x:c r="D71" s="49" t="str">
        <x:v>Petricola, S., Reinmuth, M., Lautenbach, S., Hatfield, C., &amp; Zipf, A</x:v>
      </x:c>
      <x:c r="E71" s="49" t="n">
        <x:v>2022</x:v>
      </x:c>
      <x:c r="F71" s="49" t="str">
        <x:v>Assessing road criticality and loss of healthcare accessibility during floods: The case of Cyclone Idai, Mozambique 2019</x:v>
      </x:c>
      <x:c r="G71" s="49" t="str">
        <x:v>International Journal of Health Geographics</x:v>
      </x:c>
      <x:c r="H71" s="49" t="str">
        <x:v>21</x:v>
      </x:c>
      <x:c r="I71" s="49" t="str">
        <x:v>Article 14</x:v>
      </x:c>
      <x:c r="J71" s="49" t="str">
        <x:v>10.1186/s12942-022-00315-2</x:v>
      </x:c>
      <x:c r="K71" s="49" t="str">
        <x:v>See author/publisher record; not established by supplied reference</x:v>
      </x:c>
      <x:c r="L71" s="49" t="str">
        <x:v>Not established by supplied reference</x:v>
      </x:c>
      <x:c r="M71" s="49" t="str">
        <x:v>https://doi.org/10.1186/s12942-022-00315-2</x:v>
      </x:c>
      <x:c r="N71" s="49" t="str">
        <x:v>Petricola, S., Reinmuth, M., Lautenbach, S., Hatfield, C., &amp; Zipf, A. (2022). Assessing road criticality and loss of healthcare accessibility during floods: The case of Cyclone Idai, Mozambique 2019. International Journal of Health Geographics, 21, Article 14. https://doi.org/10.1186/s12942-022-00315-2</x:v>
      </x:c>
      <x:c r="O71" s="49" t="str">
        <x:v>Flood information for hospital access. Supporting literature; use within the cited study's measurement boundary.</x:v>
      </x:c>
      <x:c r="P71" s="49" t="str">
        <x:v>Manuscript citation reconciled; original publication not re-audited</x:v>
      </x:c>
      <x:c r="Q71" s="49" t="str">
        <x:v>Candidate — full-text selection pending</x:v>
      </x:c>
      <x:c r="R71" s="49" t="str">
        <x:v>Cited in proposed §2.3, body pp. 6, 14; Carlo review pending; see Ch2 Citation Reconciliation.</x:v>
      </x:c>
      <x:c r="S71" s="49" t="str">
        <x:v>N/A — supporting literature, not a 2022 observation file</x:v>
      </x:c>
    </x:row>
    <x:row r="72" ht="108" customHeight="1">
      <x:c r="A72" s="49" t="str">
        <x:v>L071</x:v>
      </x:c>
      <x:c r="B72" s="49" t="str">
        <x:v>2.3</x:v>
      </x:c>
      <x:c r="C72" s="49" t="str">
        <x:v>Journal article</x:v>
      </x:c>
      <x:c r="D72" s="49" t="str">
        <x:v>Schaeffer, B. A., Bailey, S. W., Conmy, R. N., Galvin, M., Ignatius, A. R., Johnston, J. M., Keith, D. J., Lunetta, R. S., Parmar, R., Stumpf, R. P., Urquhart, E. A., Werdell, P. J., &amp; Wolfe, K</x:v>
      </x:c>
      <x:c r="E72" s="49" t="n">
        <x:v>2018</x:v>
      </x:c>
      <x:c r="F72" s="49" t="str">
        <x:v>Mobile device application for monitoring cyanobacteria harmful algal blooms using Sentinel-3 satellite Ocean and Land Colour Instruments</x:v>
      </x:c>
      <x:c r="G72" s="49" t="str">
        <x:v>Environmental Modelling &amp; Software</x:v>
      </x:c>
      <x:c r="H72" s="49" t="str">
        <x:v>109</x:v>
      </x:c>
      <x:c r="I72" s="49" t="str">
        <x:v>93–103</x:v>
      </x:c>
      <x:c r="J72" s="49" t="str">
        <x:v>10.1016/j.envsoft.2018.08.015</x:v>
      </x:c>
      <x:c r="K72" s="49" t="str">
        <x:v>See author/publisher record; not established by supplied reference</x:v>
      </x:c>
      <x:c r="L72" s="49" t="str">
        <x:v>Not established by supplied reference</x:v>
      </x:c>
      <x:c r="M72" s="49" t="str">
        <x:v>https://doi.org/10.1016/j.envsoft.2018.08.015</x:v>
      </x:c>
      <x:c r="N72" s="49" t="str">
        <x:v>Schaeffer, B. A., Bailey, S. W., Conmy, R. N., Galvin, M., Ignatius, A. R., Johnston, J. M., Keith, D. J., Lunetta, R. S., Parmar, R., Stumpf, R. P., Urquhart, E. A., Werdell, P. J., &amp; Wolfe, K. (2018). Mobile device application for monitoring cyanobacteria harmful algal blooms using Sentinel-3 satellite Ocean and Land Colour Instruments. Environmental Modelling &amp; Software, 109, 93–103. https://doi.org/10.1016/j.envsoft.2018.08.015</x:v>
      </x:c>
      <x:c r="O72" s="49" t="str">
        <x:v>Municipal reservoir and bloom monitoring. Supporting literature; use within the cited study's measurement boundary.</x:v>
      </x:c>
      <x:c r="P72" s="49" t="str">
        <x:v>Manuscript citation reconciled; original publication not re-audited</x:v>
      </x:c>
      <x:c r="Q72" s="49" t="str">
        <x:v>Candidate — full-text selection pending</x:v>
      </x:c>
      <x:c r="R72" s="49" t="str">
        <x:v>Cited in proposed §2.3, body pp. 7, 15; Carlo review pending; see Ch2 Citation Reconciliation.</x:v>
      </x:c>
      <x:c r="S72" s="49" t="str">
        <x:v>N/A — supporting literature, not a 2022 observation file</x:v>
      </x:c>
    </x:row>
    <x:row r="73" ht="108" customHeight="1">
      <x:c r="A73" s="49" t="str">
        <x:v>L072</x:v>
      </x:c>
      <x:c r="B73" s="49" t="str">
        <x:v>2.3</x:v>
      </x:c>
      <x:c r="C73" s="49" t="str">
        <x:v>Journal article</x:v>
      </x:c>
      <x:c r="D73" s="49" t="str">
        <x:v>Schroeder, W., Oliva, P., Giglio, L., &amp; Csiszar, I. A</x:v>
      </x:c>
      <x:c r="E73" s="49" t="n">
        <x:v>2014</x:v>
      </x:c>
      <x:c r="F73" s="49" t="str">
        <x:v>The new VIIRS 375 m active fire detection data product: Algorithm description and initial assessment</x:v>
      </x:c>
      <x:c r="G73" s="49" t="str">
        <x:v>Remote Sensing of Environment</x:v>
      </x:c>
      <x:c r="H73" s="49" t="str">
        <x:v>143</x:v>
      </x:c>
      <x:c r="I73" s="49" t="str">
        <x:v>85–96</x:v>
      </x:c>
      <x:c r="J73" s="49" t="str">
        <x:v>10.1016/j.rse.2013.12.008</x:v>
      </x:c>
      <x:c r="K73" s="49" t="str">
        <x:v>See author/publisher record; not established by supplied reference</x:v>
      </x:c>
      <x:c r="L73" s="49" t="str">
        <x:v>Not established by supplied reference</x:v>
      </x:c>
      <x:c r="M73" s="49" t="str">
        <x:v>https://doi.org/10.1016/j.rse.2013.12.008</x:v>
      </x:c>
      <x:c r="N73" s="49" t="str">
        <x:v>Schroeder, W., Oliva, P., Giglio, L., &amp; Csiszar, I. A. (2014). The new VIIRS 375 m active fire detection data product: Algorithm description and initial assessment. Remote Sensing of Environment, 143, 85–96. https://doi.org/10.1016/j.rse.2013.12.008</x:v>
      </x:c>
      <x:c r="O73" s="49" t="str">
        <x:v>School wildfire situational awareness. Supporting literature; use within the cited study's measurement boundary.</x:v>
      </x:c>
      <x:c r="P73" s="49" t="str">
        <x:v>Manuscript citation reconciled; original publication not re-audited</x:v>
      </x:c>
      <x:c r="Q73" s="49" t="str">
        <x:v>Candidate — full-text selection pending</x:v>
      </x:c>
      <x:c r="R73" s="49" t="str">
        <x:v>Cited in proposed §2.3, body pp. 5, 13; Carlo review pending; see Ch2 Citation Reconciliation.</x:v>
      </x:c>
      <x:c r="S73" s="49" t="str">
        <x:v>N/A — supporting literature, not a 2022 observation file</x:v>
      </x:c>
    </x:row>
    <x:row r="74" ht="108" customHeight="1">
      <x:c r="A74" s="49" t="str">
        <x:v>L073</x:v>
      </x:c>
      <x:c r="B74" s="49" t="str">
        <x:v>2.3</x:v>
      </x:c>
      <x:c r="C74" s="49" t="str">
        <x:v>Journal article</x:v>
      </x:c>
      <x:c r="D74" s="49" t="str">
        <x:v>Twele, A., Cao, W., Plank, S., &amp; Martinis, S</x:v>
      </x:c>
      <x:c r="E74" s="49" t="n">
        <x:v>2016</x:v>
      </x:c>
      <x:c r="F74" s="49" t="str">
        <x:v>Sentinel-1-based flood mapping: A fully automated processing chain</x:v>
      </x:c>
      <x:c r="G74" s="49" t="str">
        <x:v>International Journal of Remote Sensing</x:v>
      </x:c>
      <x:c r="H74" s="49" t="str">
        <x:v>37(13)</x:v>
      </x:c>
      <x:c r="I74" s="49" t="str">
        <x:v>2990–3004</x:v>
      </x:c>
      <x:c r="J74" s="49" t="str">
        <x:v>10.1080/01431161.2016.1192304</x:v>
      </x:c>
      <x:c r="K74" s="49" t="str">
        <x:v>See author/publisher record; not established by supplied reference</x:v>
      </x:c>
      <x:c r="L74" s="49" t="str">
        <x:v>Not established by supplied reference</x:v>
      </x:c>
      <x:c r="M74" s="49" t="str">
        <x:v>https://doi.org/10.1080/01431161.2016.1192304</x:v>
      </x:c>
      <x:c r="N74" s="49" t="str">
        <x:v>Twele, A., Cao, W., Plank, S., &amp; Martinis, S. (2016). Sentinel-1-based flood mapping: A fully automated processing chain. International Journal of Remote Sensing, 37(13), 2990–3004. https://doi.org/10.1080/01431161.2016.1192304</x:v>
      </x:c>
      <x:c r="O74" s="49" t="str">
        <x:v>Automated flood-mapping workflow. Supporting literature; use within the cited study's measurement boundary.</x:v>
      </x:c>
      <x:c r="P74" s="49" t="str">
        <x:v>Manuscript citation reconciled; original publication not re-audited</x:v>
      </x:c>
      <x:c r="Q74" s="49" t="str">
        <x:v>Candidate — full-text selection pending</x:v>
      </x:c>
      <x:c r="R74" s="49" t="str">
        <x:v>Cited in proposed §2.3, body pp. 6, 14; Carlo review pending; see Ch2 Citation Reconciliation.</x:v>
      </x:c>
      <x:c r="S74" s="49" t="str">
        <x:v>N/A — supporting literature, not a 2022 observation file</x:v>
      </x:c>
    </x:row>
  </x:sheetData>
  <x:dataValidations count="1">
    <x:dataValidation type="list" sqref="Q2:Q61">
      <x:formula1>"Candidate — full-text selection pending,Adopted,Rejected,Deferred"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893d5eaa5b42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9" hidden="0" customWidth="1"/>
    <x:col min="4" max="4" width="37" hidden="0" customWidth="1"/>
    <x:col min="5" max="5" width="46" hidden="0" customWidth="1"/>
    <x:col min="6" max="6" width="36" hidden="0" customWidth="1"/>
    <x:col min="7" max="7" width="27" hidden="0" customWidth="1"/>
    <x:col min="8" max="8" width="49" hidden="0" customWidth="1"/>
    <x:col min="9" max="9" width="60" hidden="0" customWidth="1"/>
    <x:col min="10" max="10" width="78" hidden="0" customWidth="1"/>
    <x:col min="11" max="11" width="48" hidden="0" customWidth="1"/>
    <x:col min="12" max="12" width="58" hidden="0" customWidth="1"/>
    <x:col min="13" max="13" width="18" hidden="0" customWidth="1"/>
    <x:col min="14" max="14" width="24" hidden="0" customWidth="1"/>
    <x:col min="15" max="15" width="56" hidden="0" customWidth="1"/>
    <x:col min="16" max="16" width="14" hidden="0" customWidth="1"/>
  </x:cols>
  <x:sheetData>
    <x:row r="1" ht="32" customHeight="1">
      <x:c r="A1" s="22" t="str">
        <x:v>ID</x:v>
      </x:c>
      <x:c r="B1" s="23" t="str">
        <x:v>ACE leg</x:v>
      </x:c>
      <x:c r="C1" s="23" t="str">
        <x:v>Owner / custodian</x:v>
      </x:c>
      <x:c r="D1" s="23" t="str">
        <x:v>Country / measurement location</x:v>
      </x:c>
      <x:c r="E1" s="23" t="str">
        <x:v>Dataset / file / product</x:v>
      </x:c>
      <x:c r="F1" s="23" t="str">
        <x:v>Meets overlap?</x:v>
      </x:c>
      <x:c r="G1" s="23" t="str">
        <x:v>Cadence</x:v>
      </x:c>
      <x:c r="H1" s="23" t="str">
        <x:v>Time / coverage tested</x:v>
      </x:c>
      <x:c r="I1" s="23" t="str">
        <x:v>What was actually verified</x:v>
      </x:c>
      <x:c r="J1" s="23" t="str">
        <x:v>Exact data / acquisition link</x:v>
      </x:c>
      <x:c r="K1" s="23" t="str">
        <x:v>Model role</x:v>
      </x:c>
      <x:c r="L1" s="23" t="str">
        <x:v>Limit / guardrail</x:v>
      </x:c>
      <x:c r="M1" s="23" t="str">
        <x:v>Chapter sections</x:v>
      </x:c>
      <x:c r="N1" s="23" t="str">
        <x:v>Companion papers</x:v>
      </x:c>
      <x:c r="O1" s="23" t="str">
        <x:v>Next gate</x:v>
      </x:c>
      <x:c r="P1" s="24" t="str">
        <x:v>Checked</x:v>
      </x:c>
    </x:row>
    <x:row r="2" ht="88" customHeight="1">
      <x:c r="A2" s="28" t="str">
        <x:v>D001</x:v>
      </x:c>
      <x:c r="B2" s="29" t="str">
        <x:v>A</x:v>
      </x:c>
      <x:c r="C2" s="29" t="str">
        <x:v>B. Ruszczak and coauthors; ESA OPS-SAT</x:v>
      </x:c>
      <x:c r="D2" s="29" t="str">
        <x:v>Poland / ESA Europe; OPS-SAT in orbit</x:v>
      </x:c>
      <x:c r="E2" s="29" t="str">
        <x:v>OPSSAT-AD v2: dataset.csv + segments.csv</x:v>
      </x:c>
      <x:c r="F2" s="29" t="str">
        <x:v>PASS — bounded observations</x:v>
      </x:c>
      <x:c r="G2" s="29" t="str">
        <x:v>Timestamped telemetry; variable segment duration</x:v>
      </x:c>
      <x:c r="H2" s="29" t="str">
        <x:v>Target 2022-01-28 17:42:49–17:54:19 UTC; accepted A observations 17:42:51–17:54:18</x:v>
      </x:c>
      <x:c r="I2" s="29" t="str">
        <x:v>Read existing reproducibility archive: 100 accepted A/C-associated observations; raw-source SHA-256 retained. Dataset label/features and time-series telemetry are distinct tables.</x:v>
      </x:c>
      <x:c r="J2" s="29" t="str">
        <x:v>https://zenodo.org/records/15108715</x:v>
      </x:c>
      <x:c r="K2" s="29" t="str">
        <x:v>Observed spacecraft telemetry/anomaly context; workload proxy only where explicitly mapped.</x:v>
      </x:c>
      <x:c r="L2" s="29" t="str">
        <x:v>Not a measured inference-latency, processor-utilization or image-quality dataset. Prior accepted cohort is reused, not a new experiment.</x:v>
      </x:c>
      <x:c r="M2" s="29" t="str">
        <x:v>2.3;2.6;2.7</x:v>
      </x:c>
      <x:c r="N2" s="29" t="str">
        <x:v>L039;L040</x:v>
      </x:c>
      <x:c r="O2" s="29" t="str">
        <x:v>Keep raw segment IDs and timestamps; do not infer compute seconds from feature values.</x:v>
      </x:c>
      <x:c r="P2" s="30" t="str">
        <x:v>2026-09-28</x:v>
      </x:c>
    </x:row>
    <x:row r="3" ht="88" customHeight="1">
      <x:c r="A3" s="28" t="str">
        <x:v>D002</x:v>
      </x:c>
      <x:c r="B3" s="29" t="str">
        <x:v>C</x:v>
      </x:c>
      <x:c r="C3" s="29" t="str">
        <x:v>Libre Space Foundation / SatNOGS receiving network; ESA spacecraft</x:v>
      </x:c>
      <x:c r="D3" s="29" t="str">
        <x:v>Greece / international receivers; ESA OPS-SAT NORAD 44878</x:v>
      </x:c>
      <x:c r="E3" s="29" t="str">
        <x:v>OPS-SAT_2022-01-26_to_2022-01-29_COMPLETE.json + decoded receptions</x:v>
      </x:c>
      <x:c r="F3" s="29" t="str">
        <x:v>PASS — bounded observations</x:v>
      </x:c>
      <x:c r="G3" s="29" t="str">
        <x:v>Irregular packet receptions</x:v>
      </x:c>
      <x:c r="H3" s="29" t="str">
        <x:v>2022-01-28 17:42:49–17:54:19 UTC</x:v>
      </x:c>
      <x:c r="I3" s="29" t="str">
        <x:v>Read accepted archived table: maximum prior COMM association age 9 s, within the configured 10 s tolerance. Raw JSON and decoded/canonical tables retained.</x:v>
      </x:c>
      <x:c r="J3" s="29" t="str">
        <x:v>https://db.satnogs.org/api/telemetry/?satellite=44878</x:v>
      </x:c>
      <x:c r="K3" s="29" t="str">
        <x:v>Observed received radio state and counters; supports the COMM chronological leg.</x:v>
      </x:c>
      <x:c r="L3" s="29" t="str">
        <x:v>No direct calibrated capacity, loss rate or complete outage record. Multiple receivers may report the same beacon; reception gaps alone are not link outages.</x:v>
      </x:c>
      <x:c r="M3" s="29" t="str">
        <x:v>2.2;2.4;2.6;2.7</x:v>
      </x:c>
      <x:c r="N3" s="29" t="str">
        <x:v>D020</x:v>
      </x:c>
      <x:c r="O3" s="29" t="str">
        <x:v>Use bounded, throttled API retrieval; preserve packet/receiver IDs and duplicate handling.</x:v>
      </x:c>
      <x:c r="P3" s="30" t="str">
        <x:v>2026-09-28</x:v>
      </x:c>
    </x:row>
    <x:row r="4" ht="88" customHeight="1">
      <x:c r="A4" s="28" t="str">
        <x:v>D003</x:v>
      </x:c>
      <x:c r="B4" s="29" t="str">
        <x:v>E</x:v>
      </x:c>
      <x:c r="C4" s="29" t="str">
        <x:v>NASA GSFC / Space Physics Data Facility (SPDF)</x:v>
      </x:c>
      <x:c r="D4" s="29" t="str">
        <x:v>USA; upstream solar-wind missions / bow-shock-referenced context</x:v>
      </x:c>
      <x:c r="E4" s="29" t="str">
        <x:v>OMNI high-resolution 1-minute subset</x:v>
      </x:c>
      <x:c r="F4" s="29" t="str">
        <x:v>PASS — bounded observations</x:v>
      </x:c>
      <x:c r="G4" s="29" t="str">
        <x:v>1 minute</x:v>
      </x:c>
      <x:c r="H4" s="29" t="str">
        <x:v>13 minute bins 17:42–17:54 UTC, 28 January 2022</x:v>
      </x:c>
      <x:c r="I4" s="29" t="str">
        <x:v>Read archived raw OMNI text and format file. Thirteen target bins exist; interpolation percentage and time-between-observation fields are present.</x:v>
      </x:c>
      <x:c r="J4" s="29" t="str">
        <x:v>https://omniweb.gsfc.nasa.gov/form/omni_min.html</x:v>
      </x:c>
      <x:c r="K4" s="29" t="str">
        <x:v>Contemporaneous IMF, solar-wind and geomagnetic context for A+C.</x:v>
      </x:c>
      <x:c r="L4" s="29" t="str">
        <x:v>Not local OPS-SAT environmental sensing. Some selected values are interpolated; retain percent-interpolation/QC. No automatic ENV→outage mapping.</x:v>
      </x:c>
      <x:c r="M4" s="29" t="str">
        <x:v>2.1;2.4;2.6;2.7</x:v>
      </x:c>
      <x:c r="N4" s="29" t="str">
        <x:v>L013;L015;L016</x:v>
      </x:c>
      <x:c r="O4" s="29" t="str">
        <x:v>Carry original IMF/plasma source IDs, interpolation and cadence; preserve propagation convention.</x:v>
      </x:c>
      <x:c r="P4" s="30" t="str">
        <x:v>2026-09-28</x:v>
      </x:c>
    </x:row>
    <x:row r="5" ht="88" customHeight="1">
      <x:c r="A5" s="28" t="str">
        <x:v>D004</x:v>
      </x:c>
      <x:c r="B5" s="29" t="str">
        <x:v>E</x:v>
      </x:c>
      <x:c r="C5" s="29" t="str">
        <x:v>GFZ / Geomagnetic Observatory Niemegk; contributing observatories</x:v>
      </x:c>
      <x:c r="D5" s="29" t="str">
        <x:v>Germany / global observatory network</x:v>
      </x:c>
      <x:c r="E5" s="29" t="str">
        <x:v>Definitive Kp, 2022 WDC file</x:v>
      </x:c>
      <x:c r="F5" s="29" t="str">
        <x:v>PASS — coarse context only</x:v>
      </x:c>
      <x:c r="G5" s="29" t="str">
        <x:v>3-hour Kp bins</x:v>
      </x:c>
      <x:c r="H5" s="29" t="str">
        <x:v>2022-01-28 row exists; 15:00–18:00 UTC bin contains A+C window</x:v>
      </x:c>
      <x:c r="I5" s="29" t="str">
        <x:v>Live numeric year file inspected. January 28 record is present; file header supplies version 1.0 dataset DOI and CC BY 4.0.</x:v>
      </x:c>
      <x:c r="J5" s="29" t="str">
        <x:v>https://datapub.gfz.de/download/10.5880.Kp.0001/Kp_definitive/Kp_def2022.wdc</x:v>
      </x:c>
      <x:c r="K5" s="29" t="str">
        <x:v>Independent geomagnetic activity context at coarse cadence.</x:v>
      </x:c>
      <x:c r="L5" s="29" t="str">
        <x:v>Temporal containment, not minute-level variation or local link conditions; do not interpolate into invented minute observations.</x:v>
      </x:c>
      <x:c r="M5" s="29" t="str">
        <x:v>2.4;2.6</x:v>
      </x:c>
      <x:c r="N5" s="29" t="str">
        <x:v>L014</x:v>
      </x:c>
      <x:c r="O5" s="29" t="str">
        <x:v>Parse WDC column specification before mapping the bin; retain native 3-hour resolution.</x:v>
      </x:c>
      <x:c r="P5" s="30" t="str">
        <x:v>2026-09-28</x:v>
      </x:c>
    </x:row>
    <x:row r="6" ht="88" customHeight="1">
      <x:c r="A6" s="28" t="str">
        <x:v>D005</x:v>
      </x:c>
      <x:c r="B6" s="29" t="str">
        <x:v>E</x:v>
      </x:c>
      <x:c r="C6" s="29" t="str">
        <x:v>World Data Center for Geomagnetism, Kyoto University</x:v>
      </x:c>
      <x:c r="D6" s="29" t="str">
        <x:v>Kyoto, Japan / low-latitude observatory network</x:v>
      </x:c>
      <x:c r="E6" s="29" t="str">
        <x:v>Provisional Dst hourly table, January 2022</x:v>
      </x:c>
      <x:c r="F6" s="29" t="str">
        <x:v>PASS — coarse context only</x:v>
      </x:c>
      <x:c r="G6" s="29" t="str">
        <x:v>Hourly</x:v>
      </x:c>
      <x:c r="H6" s="29" t="str">
        <x:v>January 28, 2022 hourly row includes target hour</x:v>
      </x:c>
      <x:c r="I6" s="29" t="str">
        <x:v>Live monthly numeric table inspected; all 24 hourly entries for January 28 are displayed. Product explicitly provisional.</x:v>
      </x:c>
      <x:c r="J6" s="29" t="str">
        <x:v>https://wdc.kugi.kyoto-u.ac.jp/dst_provisional/202201/index.html</x:v>
      </x:c>
      <x:c r="K6" s="29" t="str">
        <x:v>Hourly ring-current / geomagnetic context.</x:v>
      </x:c>
      <x:c r="L6" s="29" t="str">
        <x:v>Coarse temporal context only. Dst and OMNI SYM-H are related indices, not independent evidence of a radio outage.</x:v>
      </x:c>
      <x:c r="M6" s="29" t="str">
        <x:v>2.4;2.6</x:v>
      </x:c>
      <x:c r="N6" s="29" t="str">
        <x:v>L016</x:v>
      </x:c>
      <x:c r="O6" s="29" t="str">
        <x:v>Record hourly bin convention and final/provisional status when freezing the analysis.</x:v>
      </x:c>
      <x:c r="P6" s="30" t="str">
        <x:v>2026-09-28</x:v>
      </x:c>
    </x:row>
    <x:row r="7" ht="88" customHeight="1">
      <x:c r="A7" s="28" t="str">
        <x:v>D006</x:v>
      </x:c>
      <x:c r="B7" s="29" t="str">
        <x:v>E</x:v>
      </x:c>
      <x:c r="C7" s="29" t="str">
        <x:v>NOAA NCEI / GOES-R EXIS team</x:v>
      </x:c>
      <x:c r="D7" s="29" t="str">
        <x:v>USA; GOES-16 geostationary solar observations</x:v>
      </x:c>
      <x:c r="E7" s="29" t="str">
        <x:v>GOES-16 XRS science 1-minute averages, 2022-01-28, v2.2.1</x:v>
      </x:c>
      <x:c r="F7" s="29" t="str">
        <x:v>PENDING — dated file located</x:v>
      </x:c>
      <x:c r="G7" s="29" t="str">
        <x:v>1 minute (product definition)</x:v>
      </x:c>
      <x:c r="H7" s="29" t="str">
        <x:v>Filename is dated 2022-01-28; target-minute values/QC not inspected</x:v>
      </x:c>
      <x:c r="I7" s="29" t="str">
        <x:v>NOAA January directory lists exact dated .nc file. Binary download was not completed; no assertion that every target minute is valid.</x:v>
      </x:c>
      <x:c r="J7" s="29" t="str">
        <x:v>https://data.ngdc.noaa.gov/platforms/solar-space-observing-satellites/goes/goes16/l2/data/xrsf-l2-avg1m_science/2022/01/sci_xrsf-l2-avg1m_g16_d20220128_v2-2-1.nc</x:v>
      </x:c>
      <x:c r="K7" s="29" t="str">
        <x:v>Solar X-ray irradiance context; possible event characterization.</x:v>
      </x:c>
      <x:c r="L7" s="29" t="str">
        <x:v>File-date match is not a validated minute-level join. Solar flux does not directly measure OPS-SAT link impairment.</x:v>
      </x:c>
      <x:c r="M7" s="29" t="str">
        <x:v>2.4;2.6</x:v>
      </x:c>
      <x:c r="N7" s="29" t="str"/>
      <x:c r="O7" s="29" t="str">
        <x:v>Download this exact file; inspect time, irradiance units, quality flags and fill values for the target window.</x:v>
      </x:c>
      <x:c r="P7" s="30" t="str">
        <x:v>2026-09-28</x:v>
      </x:c>
    </x:row>
    <x:row r="8" ht="88" customHeight="1">
      <x:c r="A8" s="28" t="str">
        <x:v>D007</x:v>
      </x:c>
      <x:c r="B8" s="29" t="str">
        <x:v>E</x:v>
      </x:c>
      <x:c r="C8" s="29" t="str">
        <x:v>NOAA NCEI / GOES-R EXIS team</x:v>
      </x:c>
      <x:c r="D8" s="29" t="str">
        <x:v>USA; GOES-16 solar observations</x:v>
      </x:c>
      <x:c r="E8" s="29" t="str">
        <x:v>GOES-16 EUVS science 1-minute annual file, 2022, v1.0.7</x:v>
      </x:c>
      <x:c r="F8" s="29" t="str">
        <x:v>PENDING — dated file located</x:v>
      </x:c>
      <x:c r="G8" s="29" t="str">
        <x:v>1 minute (product definition)</x:v>
      </x:c>
      <x:c r="H8" s="29" t="str">
        <x:v>2022 annual file located; January 28 records not inspected</x:v>
      </x:c>
      <x:c r="I8" s="29" t="str">
        <x:v>NOAA 2022 directory lists sci_euvs-l2-avg1m_g16_y2022_v1-0-7.nc; only file-level temporal coverage established.</x:v>
      </x:c>
      <x:c r="J8" s="29" t="str">
        <x:v>https://data.ngdc.noaa.gov/platforms/solar-space-observing-satellites/goes/goes16/l2/data/euvs-l2-avg1m_science/2022/sci_euvs-l2-avg1m_g16_y2022_v1-0-7.nc</x:v>
      </x:c>
      <x:c r="K8" s="29" t="str">
        <x:v>Solar EUV context supporting ionospheric interpretation.</x:v>
      </x:c>
      <x:c r="L8" s="29" t="str">
        <x:v>Annual filename alone does not establish valid values in this eleven-and-a-half-minute event.</x:v>
      </x:c>
      <x:c r="M8" s="29" t="str">
        <x:v>2.4;2.6</x:v>
      </x:c>
      <x:c r="N8" s="29" t="str"/>
      <x:c r="O8" s="29" t="str">
        <x:v>Subset January 28, 17:42–17:55 UTC; inspect QC and the time convention.</x:v>
      </x:c>
      <x:c r="P8" s="30" t="str">
        <x:v>2026-09-28</x:v>
      </x:c>
    </x:row>
    <x:row r="9" ht="88" customHeight="1">
      <x:c r="A9" s="28" t="str">
        <x:v>D008</x:v>
      </x:c>
      <x:c r="B9" s="29" t="str">
        <x:v>E</x:v>
      </x:c>
      <x:c r="C9" s="29" t="str">
        <x:v>UMass Lowell GIRO / contributing ionosonde stations</x:v>
      </x:c>
      <x:c r="D9" s="29" t="str">
        <x:v>USA-hosted / international stations</x:v>
      </x:c>
      <x:c r="E9" s="29" t="str">
        <x:v>GIRO DIDBase / ionosonde archive</x:v>
      </x:c>
      <x:c r="F9" s="29" t="str">
        <x:v>PENDING — archive route only</x:v>
      </x:c>
      <x:c r="G9" s="29" t="str">
        <x:v>Station/product dependent</x:v>
      </x:c>
      <x:c r="H9" s="29" t="str">
        <x:v>No station-specific target observation checked</x:v>
      </x:c>
      <x:c r="I9" s="29" t="str">
        <x:v>GIRO DIDBase and archive access documentation checked; station-level January 28 extraction not performed.</x:v>
      </x:c>
      <x:c r="J9" s="29" t="str">
        <x:v>https://giro.uml.edu/didbase/</x:v>
      </x:c>
      <x:c r="K9" s="29" t="str">
        <x:v>Candidate foF2, hmF2 and related ionospheric context.</x:v>
      </x:c>
      <x:c r="L9" s="29" t="str">
        <x:v>Must match an appropriate station/propagation region and date. A station far from the link is not automatically representative.</x:v>
      </x:c>
      <x:c r="M9" s="29" t="str">
        <x:v>2.4;2.6</x:v>
      </x:c>
      <x:c r="N9" s="29" t="str">
        <x:v>L031</x:v>
      </x:c>
      <x:c r="O9" s="29" t="str">
        <x:v>Select relevant station first; verify coverage, scaling flags, cadence and reuse terms.</x:v>
      </x:c>
      <x:c r="P9" s="30" t="str">
        <x:v>2026-09-28</x:v>
      </x:c>
    </x:row>
    <x:row r="10" ht="88" customHeight="1">
      <x:c r="A10" s="28" t="str">
        <x:v>D009</x:v>
      </x:c>
      <x:c r="B10" s="29" t="str">
        <x:v>E</x:v>
      </x:c>
      <x:c r="C10" s="29" t="str">
        <x:v>South African National Space Agency (SANSA)</x:v>
      </x:c>
      <x:c r="D10" s="29" t="str">
        <x:v>South Africa; southern African / Antarctic stations</x:v>
      </x:c>
      <x:c r="E10" s="29" t="str">
        <x:v>SANSA Data Information Management System</x:v>
      </x:c>
      <x:c r="F10" s="29" t="str">
        <x:v>PENDING — archive route only</x:v>
      </x:c>
      <x:c r="G10" s="29" t="str">
        <x:v>Product/station dependent</x:v>
      </x:c>
      <x:c r="H10" s="29" t="str">
        <x:v>Target-date numeric records unverified</x:v>
      </x:c>
      <x:c r="I10" s="29" t="str">
        <x:v>Official SANSA portal route identified; numeric station/day download not performed. Portal access can require registration.</x:v>
      </x:c>
      <x:c r="J10" s="29" t="str">
        <x:v>https://sandims.sansa.org.za/</x:v>
      </x:c>
      <x:c r="K10" s="29" t="str">
        <x:v>Candidate geomagnetic/ionospheric context in the Southern Hemisphere.</x:v>
      </x:c>
      <x:c r="L10" s="29" t="str">
        <x:v>No verified target-window data yet; station relevance to OPS-SAT/receiver geometry must be established.</x:v>
      </x:c>
      <x:c r="M10" s="29" t="str">
        <x:v>2.4;2.6</x:v>
      </x:c>
      <x:c r="N10" s="29" t="str"/>
      <x:c r="O10" s="29" t="str">
        <x:v>Select HER or another relevant station only after geometry check; obtain January 28 file and QC.</x:v>
      </x:c>
      <x:c r="P10" s="30" t="str">
        <x:v>2026-09-28</x:v>
      </x:c>
    </x:row>
    <x:row r="11" ht="88" customHeight="1">
      <x:c r="A11" s="28" t="str">
        <x:v>D010</x:v>
      </x:c>
      <x:c r="B11" s="29" t="str">
        <x:v>E</x:v>
      </x:c>
      <x:c r="C11" s="29" t="str">
        <x:v>Australian Bureau of Meteorology / Space Weather Services World Data Centre</x:v>
      </x:c>
      <x:c r="D11" s="29" t="str">
        <x:v>Australia / regional observatories</x:v>
      </x:c>
      <x:c r="E11" s="29" t="str">
        <x:v>Australian World Data Centre for Space Weather</x:v>
      </x:c>
      <x:c r="F11" s="29" t="str">
        <x:v>PENDING — archive route only</x:v>
      </x:c>
      <x:c r="G11" s="29" t="str">
        <x:v>Station/product dependent</x:v>
      </x:c>
      <x:c r="H11" s="29" t="str">
        <x:v>Target-day numerical coverage unverified</x:v>
      </x:c>
      <x:c r="I11" s="29" t="str">
        <x:v>Official World Data Centre page and data families reviewed; no Jan 28 station file examined.</x:v>
      </x:c>
      <x:c r="J11" s="29" t="str">
        <x:v>https://www.sws.bom.gov.au/World_Data_Centre</x:v>
      </x:c>
      <x:c r="K11" s="29" t="str">
        <x:v>Regional ionospheric or geomagnetic context candidate.</x:v>
      </x:c>
      <x:c r="L11" s="29" t="str">
        <x:v>Use as regional context only until date, location, signal frequency and quality have been checked.</x:v>
      </x:c>
      <x:c r="M11" s="29" t="str">
        <x:v>2.4;2.6</x:v>
      </x:c>
      <x:c r="N11" s="29" t="str"/>
      <x:c r="O11" s="29" t="str">
        <x:v>Select station and date, download numeric product, document units and gap semantics.</x:v>
      </x:c>
      <x:c r="P11" s="30" t="str">
        <x:v>2026-09-28</x:v>
      </x:c>
    </x:row>
    <x:row r="12" ht="88" customHeight="1">
      <x:c r="A12" s="28" t="str">
        <x:v>D011</x:v>
      </x:c>
      <x:c r="B12" s="29" t="str">
        <x:v>E</x:v>
      </x:c>
      <x:c r="C12" s="29" t="str">
        <x:v>NASA SPDF / instrument team; ACE Science Center where applicable</x:v>
      </x:c>
      <x:c r="D12" s="29" t="str">
        <x:v>USA / international instrument teams; L1-region spacecraft</x:v>
      </x:c>
      <x:c r="E12" s="29" t="str">
        <x:v>ACE Magnetic Field Experiment (MAG) Level 2</x:v>
      </x:c>
      <x:c r="F12" s="29" t="str">
        <x:v>PENDING — archive route only</x:v>
      </x:c>
      <x:c r="G12" s="29" t="str">
        <x:v>Instrument/product dependent</x:v>
      </x:c>
      <x:c r="H12" s="29" t="str">
        <x:v>January 28 target-time records not inspected</x:v>
      </x:c>
      <x:c r="I12" s="29" t="str">
        <x:v>Instrument archive routes documented by NASA OMNI provenance. No new target-date source-level file was imported.</x:v>
      </x:c>
      <x:c r="J12" s="29" t="str">
        <x:v>https://izw1.caltech.edu/ACE/ASC/level2/lvl2DATA_MAG.html</x:v>
      </x:c>
      <x:c r="K12" s="29" t="str">
        <x:v>Cross-check originating solar-wind measurements and OMNI processing.</x:v>
      </x:c>
      <x:c r="L12" s="29" t="str">
        <x:v>May be an ancestor of the existing OMNI data, NOT an independent A/C/E experiment. Raw spacecraft time is not the same as OMNI bow-shock-shifted time.</x:v>
      </x:c>
      <x:c r="M12" s="29" t="str">
        <x:v>2.4;2.6</x:v>
      </x:c>
      <x:c r="N12" s="29" t="str">
        <x:v>L053</x:v>
      </x:c>
      <x:c r="O12" s="29" t="str">
        <x:v>Verify raw timestamps, propagation correction, origin spacecraft and quality; avoid double-counting OMNI inputs.</x:v>
      </x:c>
      <x:c r="P12" s="30" t="str">
        <x:v>2026-09-28</x:v>
      </x:c>
    </x:row>
    <x:row r="13" ht="88" customHeight="1">
      <x:c r="A13" s="28" t="str">
        <x:v>D012</x:v>
      </x:c>
      <x:c r="B13" s="29" t="str">
        <x:v>E</x:v>
      </x:c>
      <x:c r="C13" s="29" t="str">
        <x:v>NASA SPDF / instrument team; ACE Science Center where applicable</x:v>
      </x:c>
      <x:c r="D13" s="29" t="str">
        <x:v>USA / international instrument teams; L1-region spacecraft</x:v>
      </x:c>
      <x:c r="E13" s="29" t="str">
        <x:v>ACE SWEPAM Level 2</x:v>
      </x:c>
      <x:c r="F13" s="29" t="str">
        <x:v>PENDING — archive route only</x:v>
      </x:c>
      <x:c r="G13" s="29" t="str">
        <x:v>Instrument/product dependent</x:v>
      </x:c>
      <x:c r="H13" s="29" t="str">
        <x:v>January 28 target-time records not inspected</x:v>
      </x:c>
      <x:c r="I13" s="29" t="str">
        <x:v>Instrument archive routes documented by NASA OMNI provenance. No new target-date source-level file was imported.</x:v>
      </x:c>
      <x:c r="J13" s="29" t="str">
        <x:v>https://izw1.caltech.edu/ACE/ASC/level2/lvl2DATA_SWEPAM.html</x:v>
      </x:c>
      <x:c r="K13" s="29" t="str">
        <x:v>Cross-check originating solar-wind measurements and OMNI processing.</x:v>
      </x:c>
      <x:c r="L13" s="29" t="str">
        <x:v>May be an ancestor of the existing OMNI data, NOT an independent A/C/E experiment. Raw spacecraft time is not the same as OMNI bow-shock-shifted time.</x:v>
      </x:c>
      <x:c r="M13" s="29" t="str">
        <x:v>2.4;2.6</x:v>
      </x:c>
      <x:c r="N13" s="29" t="str">
        <x:v>L017</x:v>
      </x:c>
      <x:c r="O13" s="29" t="str">
        <x:v>Verify raw timestamps, propagation correction, origin spacecraft and quality; avoid double-counting OMNI inputs.</x:v>
      </x:c>
      <x:c r="P13" s="30" t="str">
        <x:v>2026-09-28</x:v>
      </x:c>
    </x:row>
    <x:row r="14" ht="88" customHeight="1">
      <x:c r="A14" s="28" t="str">
        <x:v>D013</x:v>
      </x:c>
      <x:c r="B14" s="29" t="str">
        <x:v>E</x:v>
      </x:c>
      <x:c r="C14" s="29" t="str">
        <x:v>NASA SPDF / instrument team; ACE Science Center where applicable</x:v>
      </x:c>
      <x:c r="D14" s="29" t="str">
        <x:v>USA / international instrument teams; L1-region spacecraft</x:v>
      </x:c>
      <x:c r="E14" s="29" t="str">
        <x:v>Wind Magnetic Field Investigation (MFI), 15-second ASCII</x:v>
      </x:c>
      <x:c r="F14" s="29" t="str">
        <x:v>PENDING — archive route only</x:v>
      </x:c>
      <x:c r="G14" s="29" t="str">
        <x:v>15 seconds (archive path)</x:v>
      </x:c>
      <x:c r="H14" s="29" t="str">
        <x:v>January 28 target-time records not inspected</x:v>
      </x:c>
      <x:c r="I14" s="29" t="str">
        <x:v>Instrument archive routes documented by NASA OMNI provenance. No new target-date source-level file was imported.</x:v>
      </x:c>
      <x:c r="J14" s="29" t="str">
        <x:v>https://spdf.gsfc.nasa.gov/pub/data/wind/mfi/ascii/15sec_ascii/</x:v>
      </x:c>
      <x:c r="K14" s="29" t="str">
        <x:v>Cross-check originating solar-wind measurements and OMNI processing.</x:v>
      </x:c>
      <x:c r="L14" s="29" t="str">
        <x:v>May be an ancestor of the existing OMNI data, NOT an independent A/C/E experiment. Raw spacecraft time is not the same as OMNI bow-shock-shifted time.</x:v>
      </x:c>
      <x:c r="M14" s="29" t="str">
        <x:v>2.4;2.6</x:v>
      </x:c>
      <x:c r="N14" s="29" t="str">
        <x:v>L054</x:v>
      </x:c>
      <x:c r="O14" s="29" t="str">
        <x:v>Verify raw timestamps, propagation correction, origin spacecraft and quality; avoid double-counting OMNI inputs.</x:v>
      </x:c>
      <x:c r="P14" s="30" t="str">
        <x:v>2026-09-28</x:v>
      </x:c>
    </x:row>
    <x:row r="15" ht="88" customHeight="1">
      <x:c r="A15" s="28" t="str">
        <x:v>D014</x:v>
      </x:c>
      <x:c r="B15" s="29" t="str">
        <x:v>E</x:v>
      </x:c>
      <x:c r="C15" s="29" t="str">
        <x:v>NASA SPDF / instrument team; ACE Science Center where applicable</x:v>
      </x:c>
      <x:c r="D15" s="29" t="str">
        <x:v>USA / international instrument teams; L1-region spacecraft</x:v>
      </x:c>
      <x:c r="E15" s="29" t="str">
        <x:v>Wind Solar Wind Experiment (SWE), 2-minute ASCII</x:v>
      </x:c>
      <x:c r="F15" s="29" t="str">
        <x:v>PENDING — archive route only</x:v>
      </x:c>
      <x:c r="G15" s="29" t="str">
        <x:v>2 minutes (archive path)</x:v>
      </x:c>
      <x:c r="H15" s="29" t="str">
        <x:v>January 28 target-time records not inspected</x:v>
      </x:c>
      <x:c r="I15" s="29" t="str">
        <x:v>Instrument archive routes documented by NASA OMNI provenance. No new target-date source-level file was imported.</x:v>
      </x:c>
      <x:c r="J15" s="29" t="str">
        <x:v>https://spdf.gsfc.nasa.gov/pub/data/wind/swe/ascii/2-min/</x:v>
      </x:c>
      <x:c r="K15" s="29" t="str">
        <x:v>Cross-check originating solar-wind measurements and OMNI processing.</x:v>
      </x:c>
      <x:c r="L15" s="29" t="str">
        <x:v>May be an ancestor of the existing OMNI data, NOT an independent A/C/E experiment. Raw spacecraft time is not the same as OMNI bow-shock-shifted time.</x:v>
      </x:c>
      <x:c r="M15" s="29" t="str">
        <x:v>2.4;2.6</x:v>
      </x:c>
      <x:c r="N15" s="29" t="str">
        <x:v>L055</x:v>
      </x:c>
      <x:c r="O15" s="29" t="str">
        <x:v>Verify raw timestamps, propagation correction, origin spacecraft and quality; avoid double-counting OMNI inputs.</x:v>
      </x:c>
      <x:c r="P15" s="30" t="str">
        <x:v>2026-09-28</x:v>
      </x:c>
    </x:row>
    <x:row r="16" ht="88" customHeight="1">
      <x:c r="A16" s="28" t="str">
        <x:v>D015</x:v>
      </x:c>
      <x:c r="B16" s="29" t="str">
        <x:v>A</x:v>
      </x:c>
      <x:c r="C16" s="29" t="str">
        <x:v>Georges Labrèche / ESA OPS-SAT experiment contributors</x:v>
      </x:c>
      <x:c r="D16" s="29" t="str">
        <x:v>ESA Europe; OPS-SAT in orbit</x:v>
      </x:c>
      <x:c r="E16" s="29" t="str">
        <x:v>OPS-SAT OrbitAI / SmartCam experiment repositories</x:v>
      </x:c>
      <x:c r="F16" s="29" t="str">
        <x:v>PENDING — archive route only</x:v>
      </x:c>
      <x:c r="G16" s="29" t="str">
        <x:v>Experiment-dependent logs</x:v>
      </x:c>
      <x:c r="H16" s="29" t="str">
        <x:v>Same spacecraft family; January 28, 2022 window unverified</x:v>
      </x:c>
      <x:c r="I16" s="29" t="str">
        <x:v>Author repositories document models, results and onboard experiment implementations. No Jan 28 matching execution log verified.</x:v>
      </x:c>
      <x:c r="J16" s="29" t="str">
        <x:v>https://github.com/georgeslabreche/opssat-orbitai</x:v>
      </x:c>
      <x:c r="K16" s="29" t="str">
        <x:v>Potential additional onboard-execution evidence, if dated logs exist.</x:v>
      </x:c>
      <x:c r="L16" s="29" t="str">
        <x:v>Same satellite is insufficient without matching execution timestamps. Do not label example model files empirical observations.</x:v>
      </x:c>
      <x:c r="M16" s="29" t="str">
        <x:v>2.3;2.6</x:v>
      </x:c>
      <x:c r="N16" s="29" t="str">
        <x:v>L042</x:v>
      </x:c>
      <x:c r="O16" s="29" t="str">
        <x:v>Inspect results logs and experiment times; also check https://github.com/georgeslabreche/opssat-smartcam .</x:v>
      </x:c>
      <x:c r="P16" s="30" t="str">
        <x:v>2026-09-28</x:v>
      </x:c>
    </x:row>
    <x:row r="17" ht="88" customHeight="1">
      <x:c r="A17" s="28" t="str">
        <x:v>D016</x:v>
      </x:c>
      <x:c r="B17" s="29" t="str">
        <x:v>C + local weather</x:v>
      </x:c>
      <x:c r="C17" s="29" t="str">
        <x:v>Osnabrück University / University of Twente; WetLinks authors</x:v>
      </x:c>
      <x:c r="D17" s="29" t="str">
        <x:v>Germany / Netherlands</x:v>
      </x:c>
      <x:c r="E17" s="29" t="str">
        <x:v>WetLinks original data-fit family</x:v>
      </x:c>
      <x:c r="F17" s="29" t="str">
        <x:v>NO — different time/platform</x:v>
      </x:c>
      <x:c r="G17" s="29" t="str">
        <x:v>Product-dependent network/weather cadence</x:v>
      </x:c>
      <x:c r="H17" s="29" t="str">
        <x:v>Existing adopted campaign 2023–2024, not January 2022 OPS-SAT</x:v>
      </x:c>
      <x:c r="I17" s="29" t="str">
        <x:v>Latest registers identify the prior non-simultaneous hybrid COMM source and repository; retained as calibration literature/data, not target-window input.</x:v>
      </x:c>
      <x:c r="J17" s="29" t="str">
        <x:v>https://github.com/sys-uos/WetLinks</x:v>
      </x:c>
      <x:c r="K17" s="29" t="str">
        <x:v>COMM variation and colocated weather methods; external calibration/sensitivity.</x:v>
      </x:c>
      <x:c r="L17" s="29" t="str">
        <x:v>Not the same spacecraft, link, dates or physical environment as the OPS-SAT window.</x:v>
      </x:c>
      <x:c r="M17" s="29" t="str">
        <x:v>2.2;2.4;2.6;2.7</x:v>
      </x:c>
      <x:c r="N17" s="29" t="str">
        <x:v>L048</x:v>
      </x:c>
      <x:c r="O17" s="29" t="str">
        <x:v>Keep separate from simultaneous ACE; do not replace SatNOGS with this source.</x:v>
      </x:c>
      <x:c r="P17" s="30" t="str">
        <x:v>2026-09-28</x:v>
      </x:c>
    </x:row>
    <x:row r="18" ht="88" customHeight="1">
      <x:c r="A18" s="28" t="str">
        <x:v>D017</x:v>
      </x:c>
      <x:c r="B18" s="29" t="str">
        <x:v>E</x:v>
      </x:c>
      <x:c r="C18" s="29" t="str">
        <x:v>CINC / Universidad Adventista de Chile; Manuel Alejandro Bravo Sepúlveda, custodian</x:v>
      </x:c>
      <x:c r="D18" s="29" t="str">
        <x:v>Chile / King George Island, Antarctica</x:v>
      </x:c>
      <x:c r="E18" s="29" t="str">
        <x:v>CINC KGI and Chillán numerical .DAT samples</x:v>
      </x:c>
      <x:c r="F18" s="29" t="str">
        <x:v>NO — different period</x:v>
      </x:c>
      <x:c r="G18" s="29" t="str">
        <x:v>KGI typically hourly; Chillán typically 15 minutes</x:v>
      </x:c>
      <x:c r="H18" s="29" t="str">
        <x:v>Acquired KGI 1986–1991 and Chillán Dec 2020 samples, not target 2022 window</x:v>
      </x:c>
      <x:c r="I18" s="29" t="str">
        <x:v>Existing CFG019 register reports delivered samples and station/cadence. No additional 2022 file checked in this pass.</x:v>
      </x:c>
      <x:c r="J18" s="29" t="str">
        <x:v>http://www.meteorologiaespacial.cl/</x:v>
      </x:c>
      <x:c r="K18" s="29" t="str">
        <x:v>Earlier environmental data-fit precedent and possible future archive request.</x:v>
      </x:c>
      <x:c r="L18" s="29" t="str">
        <x:v>Retain station lineage and flags; do not treat absent TEC/hmF2 in one station sample as populated.</x:v>
      </x:c>
      <x:c r="M18" s="29" t="str">
        <x:v>2.4;2.6</x:v>
      </x:c>
      <x:c r="N18" s="29" t="str"/>
      <x:c r="O18" s="29" t="str">
        <x:v>Request actual January 28, 2022 coverage only if station/location is relevant; keep previous samples separate.</x:v>
      </x:c>
      <x:c r="P18" s="30" t="str">
        <x:v>2026-09-28</x:v>
      </x:c>
    </x:row>
    <x:row r="19" ht="88" customHeight="1">
      <x:c r="A19" s="28" t="str">
        <x:v>D018</x:v>
      </x:c>
      <x:c r="B19" s="29" t="str">
        <x:v>C</x:v>
      </x:c>
      <x:c r="C19" s="29" t="str">
        <x:v>Johan Garcia / Simon Sundberg, Karlstad University</x:v>
      </x:c>
      <x:c r="D19" s="29" t="str">
        <x:v>Karlstad, Sweden</x:v>
      </x:c>
      <x:c r="E19" s="29" t="str">
        <x:v>A Detailed Characterization of Starlink One-way Delay dataset</x:v>
      </x:c>
      <x:c r="F19" s="29" t="str">
        <x:v>NO — different time/platform</x:v>
      </x:c>
      <x:c r="G19" s="29" t="str">
        <x:v>High-frequency UL/DL; exact cadence in paper</x:v>
      </x:c>
      <x:c r="H19" s="29" t="str">
        <x:v>April 2025 Karlstad Starlink campaign, not January 2022 OPS-SAT</x:v>
      </x:c>
      <x:c r="I19" s="29" t="str">
        <x:v>Zenodo dataset and latest provider-response register reviewed. Uplink/downlink OWD are measured; RTT is not a provided field.</x:v>
      </x:c>
      <x:c r="J19" s="29" t="str">
        <x:v>https://zenodo.org/records/16275284</x:v>
      </x:c>
      <x:c r="K19" s="29" t="str">
        <x:v>COMM delay distributions, temporal behavior and external validation.</x:v>
      </x:c>
      <x:c r="L19" s="29" t="str">
        <x:v>Provider email and README differ about missing-sample causes; resolve before interpreting sequence gaps as packet loss/outage. Not a simultaneous replacement.</x:v>
      </x:c>
      <x:c r="M19" s="29" t="str">
        <x:v>2.2;2.4;2.5;2.6</x:v>
      </x:c>
      <x:c r="N19" s="29" t="str">
        <x:v>L038</x:v>
      </x:c>
      <x:c r="O19" s="29" t="str">
        <x:v>Use as a separate COMM calibration experiment; preserve sample pairing and relative/absolute time conventions.</x:v>
      </x:c>
      <x:c r="P19" s="30" t="str">
        <x:v>2026-09-28</x:v>
      </x:c>
    </x:row>
    <x:row r="20" ht="88" customHeight="1">
      <x:c r="A20" s="28" t="str">
        <x:v>D019</x:v>
      </x:c>
      <x:c r="B20" s="29" t="str">
        <x:v>C model</x:v>
      </x:c>
      <x:c r="C20" s="29" t="str">
        <x:v>Johan Garcia and coauthors, Karlstad University</x:v>
      </x:c>
      <x:c r="D20" s="29" t="str">
        <x:v>Sweden; Starlink measurement/model research</x:v>
      </x:c>
      <x:c r="E20" s="29" t="str">
        <x:v>Throughput burst / Markov-model companion</x:v>
      </x:c>
      <x:c r="F20" s="29" t="str">
        <x:v>N/A — model, not observation file</x:v>
      </x:c>
      <x:c r="G20" s="29" t="str">
        <x:v>Model-dependent</x:v>
      </x:c>
      <x:c r="H20" s="29" t="str">
        <x:v>No target-window observed throughput series established</x:v>
      </x:c>
      <x:c r="I20" s="29" t="str">
        <x:v>Provider referred to published Computer Communications paper and Markov-model route; paper metadata/abstract checked.</x:v>
      </x:c>
      <x:c r="J20" s="29" t="str">
        <x:v>https://doi.org/10.1016/j.comcom.2025.108090</x:v>
      </x:c>
      <x:c r="K20" s="29" t="str">
        <x:v>Generate synthetic Starlink-like throughput scenarios after separate validation.</x:v>
      </x:c>
      <x:c r="L20" s="29" t="str">
        <x:v>Generated Markov throughput is SYNTHETIC/MODELED, not an observed OMNI/SatNOGS variable.</x:v>
      </x:c>
      <x:c r="M20" s="29" t="str">
        <x:v>2.2;2.4;2.5</x:v>
      </x:c>
      <x:c r="N20" s="29" t="str">
        <x:v>L037</x:v>
      </x:c>
      <x:c r="O20" s="29" t="str">
        <x:v>Retrieve the companion implementation and document model assumptions before use.</x:v>
      </x:c>
      <x:c r="P20" s="30" t="str">
        <x:v>2026-09-28</x:v>
      </x:c>
    </x:row>
    <x:row r="21" ht="88" customHeight="1">
      <x:c r="A21" s="28" t="str">
        <x:v>D020</x:v>
      </x:c>
      <x:c r="B21" s="29" t="str">
        <x:v>C documentation</x:v>
      </x:c>
      <x:c r="C21" s="29" t="str">
        <x:v>Libre Space Foundation / SatNOGS decoder contributors</x:v>
      </x:c>
      <x:c r="D21" s="29" t="str">
        <x:v>Greece / international open-source contributors</x:v>
      </x:c>
      <x:c r="E21" s="29" t="str">
        <x:v>OPS-SAT Kaitai decoder definition opssat1.ksy</x:v>
      </x:c>
      <x:c r="F21" s="29" t="str">
        <x:v>N/A — decoder documentation</x:v>
      </x:c>
      <x:c r="G21" s="29" t="str">
        <x:v>Not applicable</x:v>
      </x:c>
      <x:c r="H21" s="29" t="str">
        <x:v>Decoder schema only; no observation time series</x:v>
      </x:c>
      <x:c r="I21" s="29" t="str">
        <x:v>Controlled workbook uses decoded telemetry. Public decoder schema defines byte-to-field mapping; no fresh decoder run in this pass.</x:v>
      </x:c>
      <x:c r="J21" s="29" t="str">
        <x:v>https://gitlab.com/librespacefoundation/satnogs/satnogs-decoders/-/blob/master/ksy/opssat1.ksy</x:v>
      </x:c>
      <x:c r="K21" s="29" t="str">
        <x:v>Interpret packet structure and preserve reproducible field semantics.</x:v>
      </x:c>
      <x:c r="L21" s="29" t="str">
        <x:v>Software schema is not a new empirical source or peer-reviewed article.</x:v>
      </x:c>
      <x:c r="M21" s="29" t="str">
        <x:v>2.2;2.6</x:v>
      </x:c>
      <x:c r="N21" s="29" t="str"/>
      <x:c r="O21" s="29" t="str">
        <x:v>Recover/pin the decoder commit from archived build records before final methods publication.</x:v>
      </x:c>
      <x:c r="P21" s="30" t="str">
        <x:v>2026-09-28</x:v>
      </x:c>
    </x:row>
    <x:row r="22" ht="88" customHeight="1">
      <x:c r="A22" s="28" t="str">
        <x:v>D021</x:v>
      </x:c>
      <x:c r="B22" s="29" t="str">
        <x:v>C documentation / comparison</x:v>
      </x:c>
      <x:c r="C22" s="29" t="str">
        <x:v>European Space Agency OPS-SAT team</x:v>
      </x:c>
      <x:c r="D22" s="29" t="str">
        <x:v>ESA Europe; OPS-SAT mission</x:v>
      </x:c>
      <x:c r="E22" s="29" t="str">
        <x:v>OPS-SAT-1 UHF Telemetry Analysis</x:v>
      </x:c>
      <x:c r="F22" s="29" t="str">
        <x:v>NO — different period/product</x:v>
      </x:c>
      <x:c r="G22" s="29" t="str">
        <x:v>Analysis-dependent</x:v>
      </x:c>
      <x:c r="H22" s="29" t="str">
        <x:v>2024 mission/re-entry material; not the 2022 adopted subset</x:v>
      </x:c>
      <x:c r="I22" s="29" t="str">
        <x:v>ESA documentation useful for radio-field interpretation; current window remains independently harvested SatNOGS JSON.</x:v>
      </x:c>
      <x:c r="J22" s="29" t="str">
        <x:v>https://live.opssat.esa.int/ops-sat-1/docs/tm_analysis.html</x:v>
      </x:c>
      <x:c r="K22" s="29" t="str">
        <x:v>Explain radio field semantics and distinguish receiver versus spacecraft measurements.</x:v>
      </x:c>
      <x:c r="L22" s="29" t="str">
        <x:v>Do not cite 2024 telemetry as though it is the January 2022 data run.</x:v>
      </x:c>
      <x:c r="M22" s="29" t="str">
        <x:v>2.2;2.6</x:v>
      </x:c>
      <x:c r="N22" s="29" t="str"/>
      <x:c r="O22" s="29" t="str">
        <x:v>Use as documentation; do not merge its observation values into the frozen 2022 cohort.</x:v>
      </x:c>
      <x:c r="P22" s="30" t="str">
        <x:v>2026-09-28</x:v>
      </x:c>
    </x:row>
  </x:sheetData>
  <x:pageMargins left="0.7" right="0.7" top="0.75" bottom="0.75" header="0.3" footer="0.3"/>
  <x:tableParts count="1">
    <x:tablePart xmlns:r="http://schemas.openxmlformats.org/officeDocument/2006/relationships" r:id="R1d1e84fb33fb4e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47" hidden="0" customWidth="1"/>
    <x:col min="4" max="4" width="95" hidden="0" customWidth="1"/>
    <x:col min="5" max="5" width="85" hidden="0" customWidth="1"/>
    <x:col min="6" max="6" width="62" hidden="0" customWidth="1"/>
    <x:col min="7" max="7" width="36" hidden="0" customWidth="1"/>
  </x:cols>
  <x:sheetData>
    <x:row r="1" ht="32" customHeight="1">
      <x:c r="A1" s="22" t="str">
        <x:v>ID</x:v>
      </x:c>
      <x:c r="B1" s="23" t="str">
        <x:v>Owner</x:v>
      </x:c>
      <x:c r="C1" s="23" t="str">
        <x:v>Product</x:v>
      </x:c>
      <x:c r="D1" s="23" t="str">
        <x:v>Working citation / bibliographic locator</x:v>
      </x:c>
      <x:c r="E1" s="23" t="str">
        <x:v>Exact data link</x:v>
      </x:c>
      <x:c r="F1" s="23" t="str">
        <x:v>Reuse / acknowledgment</x:v>
      </x:c>
      <x:c r="G1" s="24" t="str">
        <x:v>Publication count</x:v>
      </x:c>
    </x:row>
    <x:row r="2" ht="76" customHeight="1">
      <x:c r="A2" s="28" t="str">
        <x:v>D001</x:v>
      </x:c>
      <x:c r="B2" s="29" t="str">
        <x:v>B. Ruszczak and coauthors; ESA OPS-SAT</x:v>
      </x:c>
      <x:c r="C2" s="29" t="str">
        <x:v>OPSSAT-AD v2: dataset.csv + segments.csv</x:v>
      </x:c>
      <x:c r="D2" s="29" t="str">
        <x:v>Ruszczak, B. (2024). OPSSAT-AD — anomaly detection dataset for satellite telemetry (Version v2) [Data set]. Zenodo. https://doi.org/10.5281/zenodo.15108715</x:v>
      </x:c>
      <x:c r="E2" s="29" t="str">
        <x:v>https://zenodo.org/records/15108715</x:v>
      </x:c>
      <x:c r="F2" s="29" t="str">
        <x:v>Use Zenodo record license and version; retain accompanying data-paper citation.</x:v>
      </x:c>
      <x:c r="G2" s="30" t="str">
        <x:v>Not in the 60-paper count; dataset/software/archive documentation.</x:v>
      </x:c>
    </x:row>
    <x:row r="3" ht="76" customHeight="1">
      <x:c r="A3" s="28" t="str">
        <x:v>D002</x:v>
      </x:c>
      <x:c r="B3" s="29" t="str">
        <x:v>Libre Space Foundation / SatNOGS receiving network; ESA spacecraft</x:v>
      </x:c>
      <x:c r="C3" s="29" t="str">
        <x:v>OPS-SAT_2022-01-26_to_2022-01-29_COMPLETE.json + decoded receptions</x:v>
      </x:c>
      <x:c r="D3" s="29" t="str">
        <x:v>Libre Space Foundation. (n.d.). OPS-SAT (NORAD 44878) telemetry [Data set]. SatNOGS Database. Historical subset 26–29 January 2022; acquired September 2026. https://db.satnogs.org/satellite/44878/</x:v>
      </x:c>
      <x:c r="E3" s="29" t="str">
        <x:v>https://db.satnogs.org/api/telemetry/?satellite=44878</x:v>
      </x:c>
      <x:c r="F3" s="29" t="str">
        <x:v>Record SatNOGS dataset terms and receiver attribution before publication; API access/authentication may be required.</x:v>
      </x:c>
      <x:c r="G3" s="30" t="str">
        <x:v>Not in the 60-paper count; dataset/software/archive documentation.</x:v>
      </x:c>
    </x:row>
    <x:row r="4" ht="76" customHeight="1">
      <x:c r="A4" s="28" t="str">
        <x:v>D003</x:v>
      </x:c>
      <x:c r="B4" s="29" t="str">
        <x:v>NASA GSFC / Space Physics Data Facility (SPDF)</x:v>
      </x:c>
      <x:c r="C4" s="29" t="str">
        <x:v>OMNI high-resolution 1-minute subset</x:v>
      </x:c>
      <x:c r="D4" s="29" t="str">
        <x:v>NASA Space Physics Data Facility. (n.d.). High-resolution OMNI data, 1-minute resolution [Data set]. OMNIWeb. Subset: 28 January 2022, 17:00–18:59 UTC. Retrieved September 28, 2026, from https://omniweb.gsfc.nasa.gov/form/omni_min.html</x:v>
      </x:c>
      <x:c r="E4" s="29" t="str">
        <x:v>https://omniweb.gsfc.nasa.gov/form/omni_min.html</x:v>
      </x:c>
      <x:c r="F4" s="29" t="str">
        <x:v>Cite OMNI/SPDF and originating instrument teams according to product documentation; see King &amp; Papitashvili (2005).</x:v>
      </x:c>
      <x:c r="G4" s="30" t="str">
        <x:v>Not in the 60-paper count; dataset/software/archive documentation.</x:v>
      </x:c>
    </x:row>
    <x:row r="5" ht="76" customHeight="1">
      <x:c r="A5" s="28" t="str">
        <x:v>D004</x:v>
      </x:c>
      <x:c r="B5" s="29" t="str">
        <x:v>GFZ / Geomagnetic Observatory Niemegk; contributing observatories</x:v>
      </x:c>
      <x:c r="C5" s="29" t="str">
        <x:v>Definitive Kp, 2022 WDC file</x:v>
      </x:c>
      <x:c r="D5" s="29" t="str">
        <x:v>Matzka, J., Bronkalla, O., Tornow, K., Elger, K., &amp; Stolle, C. (2021). Geomagnetic Kp index (Version 1.0) [Data set]. GFZ Data Services. https://doi.org/10.5880/Kp.0001</x:v>
      </x:c>
      <x:c r="E5" s="29" t="str">
        <x:v>https://datapub.gfz.de/download/10.5880.Kp.0001/Kp_definitive/Kp_def2022.wdc</x:v>
      </x:c>
      <x:c r="F5" s="29" t="str">
        <x:v>CC BY 4.0; cite dataset and Matzka et al. (2021) data paper.</x:v>
      </x:c>
      <x:c r="G5" s="30" t="str">
        <x:v>Not in the 60-paper count; dataset/software/archive documentation.</x:v>
      </x:c>
    </x:row>
    <x:row r="6" ht="76" customHeight="1">
      <x:c r="A6" s="28" t="str">
        <x:v>D005</x:v>
      </x:c>
      <x:c r="B6" s="29" t="str">
        <x:v>World Data Center for Geomagnetism, Kyoto University</x:v>
      </x:c>
      <x:c r="C6" s="29" t="str">
        <x:v>Provisional Dst hourly table, January 2022</x:v>
      </x:c>
      <x:c r="D6" s="29" t="str">
        <x:v>World Data Center for Geomagnetism, Kyoto. (n.d.). Provisional Dst index, January 2022 [Data set]. Kyoto University. Retrieved September 28, 2026, from https://wdc.kugi.kyoto-u.ac.jp/dst_provisional/202201/index.html</x:v>
      </x:c>
      <x:c r="E6" s="29" t="str">
        <x:v>https://wdc.kugi.kyoto-u.ac.jp/dst_provisional/202201/index.html</x:v>
      </x:c>
      <x:c r="F6" s="29" t="str">
        <x:v>Acknowledge WDC Kyoto and contributing observatories; preserve provisional designation and access date.</x:v>
      </x:c>
      <x:c r="G6" s="30" t="str">
        <x:v>Not in the 60-paper count; dataset/software/archive documentation.</x:v>
      </x:c>
    </x:row>
    <x:row r="7" ht="76" customHeight="1">
      <x:c r="A7" s="28" t="str">
        <x:v>D006</x:v>
      </x:c>
      <x:c r="B7" s="29" t="str">
        <x:v>NOAA NCEI / GOES-R EXIS team</x:v>
      </x:c>
      <x:c r="C7" s="29" t="str">
        <x:v>GOES-16 XRS science 1-minute averages, 2022-01-28, v2.2.1</x:v>
      </x:c>
      <x:c r="D7" s="29" t="str">
        <x:v>NOAA National Centers for Environmental Information. (n.d.). GOES-16 EXIS XRS Level 2 science 1-minute averages, 28 January 2022 (Version 2.2.1) [Data set]. Filename: sci_xrsf-l2-avg1m_g16_d20220128_v2-2-1.nc.</x:v>
      </x:c>
      <x:c r="E7" s="29" t="str">
        <x:v>https://data.ngdc.noaa.gov/platforms/solar-space-observing-satellites/goes/goes16/l2/data/xrsf-l2-avg1m_science/2022/01/sci_xrsf-l2-avg1m_g16_d20220128_v2-2-1.nc</x:v>
      </x:c>
      <x:c r="F7" s="29" t="str">
        <x:v>Follow NCEI/GOES-R product citation and use terms; inspect NetCDF global citation attributes before final bibliography.</x:v>
      </x:c>
      <x:c r="G7" s="30" t="str">
        <x:v>Not in the 60-paper count; dataset/software/archive documentation.</x:v>
      </x:c>
    </x:row>
    <x:row r="8" ht="76" customHeight="1">
      <x:c r="A8" s="28" t="str">
        <x:v>D007</x:v>
      </x:c>
      <x:c r="B8" s="29" t="str">
        <x:v>NOAA NCEI / GOES-R EXIS team</x:v>
      </x:c>
      <x:c r="C8" s="29" t="str">
        <x:v>GOES-16 EUVS science 1-minute annual file, 2022, v1.0.7</x:v>
      </x:c>
      <x:c r="D8" s="29" t="str">
        <x:v>NOAA National Centers for Environmental Information. (n.d.). GOES-16 EXIS EUVS Level 2 science 1-minute averages, 2022 (Version 1.0.7) [Data set]. Filename: sci_euvs-l2-avg1m_g16_y2022_v1-0-7.nc.</x:v>
      </x:c>
      <x:c r="E8" s="29" t="str">
        <x:v>https://data.ngdc.noaa.gov/platforms/solar-space-observing-satellites/goes/goes16/l2/data/euvs-l2-avg1m_science/2022/sci_euvs-l2-avg1m_g16_y2022_v1-0-7.nc</x:v>
      </x:c>
      <x:c r="F8" s="29" t="str">
        <x:v>Inspect product/global citation metadata and NCEI terms before final citation.</x:v>
      </x:c>
      <x:c r="G8" s="30" t="str">
        <x:v>Not in the 60-paper count; dataset/software/archive documentation.</x:v>
      </x:c>
    </x:row>
    <x:row r="9" ht="76" customHeight="1">
      <x:c r="A9" s="28" t="str">
        <x:v>D008</x:v>
      </x:c>
      <x:c r="B9" s="29" t="str">
        <x:v>UMass Lowell GIRO / contributing ionosonde stations</x:v>
      </x:c>
      <x:c r="C9" s="29" t="str">
        <x:v>GIRO DIDBase / ionosonde archive</x:v>
      </x:c>
      <x:c r="D9" s="29" t="str">
        <x:v>Reinisch, B. W., &amp; Galkin, I. A. (2011). Global Ionospheric Radio Observatory (GIRO). Earth, Planets and Space, 63, 377–381. https://doi.org/10.5047/eps.2011.03.001. Add the selected station dataset citation when acquired.</x:v>
      </x:c>
      <x:c r="E9" s="29" t="str">
        <x:v>https://giro.uml.edu/didbase/</x:v>
      </x:c>
      <x:c r="F9" s="29" t="str">
        <x:v>GIRO/station acknowledgments apply; manually scaled records may require direct collaboration or permission.</x:v>
      </x:c>
      <x:c r="G9" s="30" t="str">
        <x:v>Not in the 60-paper count; dataset/software/archive documentation.</x:v>
      </x:c>
    </x:row>
    <x:row r="10" ht="76" customHeight="1">
      <x:c r="A10" s="28" t="str">
        <x:v>D009</x:v>
      </x:c>
      <x:c r="B10" s="29" t="str">
        <x:v>South African National Space Agency (SANSA)</x:v>
      </x:c>
      <x:c r="C10" s="29" t="str">
        <x:v>SANSA Data Information Management System</x:v>
      </x:c>
      <x:c r="D10" s="29" t="str">
        <x:v>South African National Space Agency. (n.d.). SANSA Data Information Management System [Data archive]. https://sandims.sansa.org.za/. Replace archive-level citation with selected product/station citation after acquisition.</x:v>
      </x:c>
      <x:c r="E10" s="29" t="str">
        <x:v>https://sandims.sansa.org.za/</x:v>
      </x:c>
      <x:c r="F10" s="29" t="str">
        <x:v>Check SANSA registration, academic-use conditions and station attribution.</x:v>
      </x:c>
      <x:c r="G10" s="30" t="str">
        <x:v>Not in the 60-paper count; dataset/software/archive documentation.</x:v>
      </x:c>
    </x:row>
    <x:row r="11" ht="76" customHeight="1">
      <x:c r="A11" s="28" t="str">
        <x:v>D010</x:v>
      </x:c>
      <x:c r="B11" s="29" t="str">
        <x:v>Australian Bureau of Meteorology / Space Weather Services World Data Centre</x:v>
      </x:c>
      <x:c r="C11" s="29" t="str">
        <x:v>Australian World Data Centre for Space Weather</x:v>
      </x:c>
      <x:c r="D11" s="29" t="str">
        <x:v>Australian Bureau of Meteorology. (n.d.). World Data Centre for Space Weather [Data archive]. https://www.sws.bom.gov.au/World_Data_Centre. Cite the selected station/product record after acquisition.</x:v>
      </x:c>
      <x:c r="E11" s="29" t="str">
        <x:v>https://www.sws.bom.gov.au/World_Data_Centre</x:v>
      </x:c>
      <x:c r="F11" s="29" t="str">
        <x:v>Honor Bureau acknowledgment and product-specific noncommercial/commercial terms.</x:v>
      </x:c>
      <x:c r="G11" s="30" t="str">
        <x:v>Not in the 60-paper count; dataset/software/archive documentation.</x:v>
      </x:c>
    </x:row>
    <x:row r="12" ht="76" customHeight="1">
      <x:c r="A12" s="28" t="str">
        <x:v>D011</x:v>
      </x:c>
      <x:c r="B12" s="29" t="str">
        <x:v>NASA SPDF / instrument team; ACE Science Center where applicable</x:v>
      </x:c>
      <x:c r="C12" s="29" t="str">
        <x:v>ACE Magnetic Field Experiment (MAG) Level 2</x:v>
      </x:c>
      <x:c r="D12" s="29" t="str">
        <x:v>NASA / MAG instrument team. (n.d.). ACE Magnetic Field Experiment (MAG) Level 2 [Data archive]. https://izw1.caltech.edu/ACE/ASC/level2/lvl2DATA_MAG.html. Use selected file version and instrument paper after acquisition.</x:v>
      </x:c>
      <x:c r="E12" s="29" t="str">
        <x:v>https://izw1.caltech.edu/ACE/ASC/level2/lvl2DATA_MAG.html</x:v>
      </x:c>
      <x:c r="F12" s="29" t="str">
        <x:v>NASA and instrument-team acknowledgment; verify selected-product terms.</x:v>
      </x:c>
      <x:c r="G12" s="30" t="str">
        <x:v>Not in the 60-paper count; dataset/software/archive documentation.</x:v>
      </x:c>
    </x:row>
    <x:row r="13" ht="76" customHeight="1">
      <x:c r="A13" s="28" t="str">
        <x:v>D012</x:v>
      </x:c>
      <x:c r="B13" s="29" t="str">
        <x:v>NASA SPDF / instrument team; ACE Science Center where applicable</x:v>
      </x:c>
      <x:c r="C13" s="29" t="str">
        <x:v>ACE SWEPAM Level 2</x:v>
      </x:c>
      <x:c r="D13" s="29" t="str">
        <x:v>NASA / SWEPAM instrument team. (n.d.). ACE SWEPAM Level 2 [Data archive]. https://izw1.caltech.edu/ACE/ASC/level2/lvl2DATA_SWEPAM.html. Use selected file version and instrument paper after acquisition.</x:v>
      </x:c>
      <x:c r="E13" s="29" t="str">
        <x:v>https://izw1.caltech.edu/ACE/ASC/level2/lvl2DATA_SWEPAM.html</x:v>
      </x:c>
      <x:c r="F13" s="29" t="str">
        <x:v>NASA and instrument-team acknowledgment; verify selected-product terms.</x:v>
      </x:c>
      <x:c r="G13" s="30" t="str">
        <x:v>Not in the 60-paper count; dataset/software/archive documentation.</x:v>
      </x:c>
    </x:row>
    <x:row r="14" ht="76" customHeight="1">
      <x:c r="A14" s="28" t="str">
        <x:v>D013</x:v>
      </x:c>
      <x:c r="B14" s="29" t="str">
        <x:v>NASA SPDF / instrument team; ACE Science Center where applicable</x:v>
      </x:c>
      <x:c r="C14" s="29" t="str">
        <x:v>Wind Magnetic Field Investigation (MFI), 15-second ASCII</x:v>
      </x:c>
      <x:c r="D14" s="29" t="str">
        <x:v>NASA / MFI instrument team. (n.d.). Wind Magnetic Field Investigation (MFI), 15-second ASCII [Data archive]. https://spdf.gsfc.nasa.gov/pub/data/wind/mfi/ascii/15sec_ascii/. Use selected file version and instrument paper after acquisition.</x:v>
      </x:c>
      <x:c r="E14" s="29" t="str">
        <x:v>https://spdf.gsfc.nasa.gov/pub/data/wind/mfi/ascii/15sec_ascii/</x:v>
      </x:c>
      <x:c r="F14" s="29" t="str">
        <x:v>NASA and instrument-team acknowledgment; verify selected-product terms.</x:v>
      </x:c>
      <x:c r="G14" s="30" t="str">
        <x:v>Not in the 60-paper count; dataset/software/archive documentation.</x:v>
      </x:c>
    </x:row>
    <x:row r="15" ht="76" customHeight="1">
      <x:c r="A15" s="28" t="str">
        <x:v>D014</x:v>
      </x:c>
      <x:c r="B15" s="29" t="str">
        <x:v>NASA SPDF / instrument team; ACE Science Center where applicable</x:v>
      </x:c>
      <x:c r="C15" s="29" t="str">
        <x:v>Wind Solar Wind Experiment (SWE), 2-minute ASCII</x:v>
      </x:c>
      <x:c r="D15" s="29" t="str">
        <x:v>NASA / SWE instrument team. (n.d.). Wind Solar Wind Experiment (SWE), 2-minute ASCII [Data archive]. https://spdf.gsfc.nasa.gov/pub/data/wind/swe/ascii/2-min/. Use selected file version and instrument paper after acquisition.</x:v>
      </x:c>
      <x:c r="E15" s="29" t="str">
        <x:v>https://spdf.gsfc.nasa.gov/pub/data/wind/swe/ascii/2-min/</x:v>
      </x:c>
      <x:c r="F15" s="29" t="str">
        <x:v>NASA and instrument-team acknowledgment; verify selected-product terms.</x:v>
      </x:c>
      <x:c r="G15" s="30" t="str">
        <x:v>Not in the 60-paper count; dataset/software/archive documentation.</x:v>
      </x:c>
    </x:row>
    <x:row r="16" ht="76" customHeight="1">
      <x:c r="A16" s="28" t="str">
        <x:v>D015</x:v>
      </x:c>
      <x:c r="B16" s="29" t="str">
        <x:v>Georges Labrèche / ESA OPS-SAT experiment contributors</x:v>
      </x:c>
      <x:c r="C16" s="29" t="str">
        <x:v>OPS-SAT OrbitAI / SmartCam experiment repositories</x:v>
      </x:c>
      <x:c r="D16" s="29" t="str">
        <x:v>Labrèche, G., et al. (2022). OPS-SAT spacecraft autonomy with TensorFlow Lite, unsupervised learning, and online machine learning [Companion code/results]. See L042 for complete article citation. https://github.com/georgeslabreche/opssat-orbitai</x:v>
      </x:c>
      <x:c r="E16" s="29" t="str">
        <x:v>https://github.com/georgeslabreche/opssat-orbitai</x:v>
      </x:c>
      <x:c r="F16" s="29" t="str">
        <x:v>Record repository license, release/commit and experiment attribution separately from paper rights.</x:v>
      </x:c>
      <x:c r="G16" s="30" t="str">
        <x:v>Not in the 60-paper count; dataset/software/archive documentation.</x:v>
      </x:c>
    </x:row>
    <x:row r="17" ht="76" customHeight="1">
      <x:c r="A17" s="28" t="str">
        <x:v>D016</x:v>
      </x:c>
      <x:c r="B17" s="29" t="str">
        <x:v>Osnabrück University / University of Twente; WetLinks authors</x:v>
      </x:c>
      <x:c r="C17" s="29" t="str">
        <x:v>WetLinks original data-fit family</x:v>
      </x:c>
      <x:c r="D17" s="29" t="str">
        <x:v>Laniewski, D., Lanfer, E., Meijerink, B., van Rijswijk-Deij, R., &amp; Aschenbruck, N. (2024). WetLinks: A large-scale longitudinal Starlink dataset with contiguous weather data. TMA 2024, 1–9. https://doi.org/10.23919/TMA62044.2024.10558998</x:v>
      </x:c>
      <x:c r="E17" s="29" t="str">
        <x:v>https://github.com/sys-uos/WetLinks</x:v>
      </x:c>
      <x:c r="F17" s="29" t="str">
        <x:v>Use exact repository release/data license. Register's newer dataset DOI 10.26249/FK2/YXPS4G must be matched to the specific downloaded product before citing as the original WetLinks dataset.</x:v>
      </x:c>
      <x:c r="G17" s="30" t="str">
        <x:v>Not in the 60-paper count; dataset/software/archive documentation.</x:v>
      </x:c>
    </x:row>
    <x:row r="18" ht="76" customHeight="1">
      <x:c r="A18" s="28" t="str">
        <x:v>D017</x:v>
      </x:c>
      <x:c r="B18" s="29" t="str">
        <x:v>CINC / Universidad Adventista de Chile; Manuel Alejandro Bravo Sepúlveda, custodian</x:v>
      </x:c>
      <x:c r="C18" s="29" t="str">
        <x:v>CINC KGI and Chillán numerical .DAT samples</x:v>
      </x:c>
      <x:c r="D18" s="29" t="str">
        <x:v>Centro de Instrumentación Científica, Universidad Adventista de Chile. (n.d.). King George Island and Chillán scaled ionosonde observations [Data set; custodian-supplied .DAT samples]. Custodian: M. A. Bravo Sepúlveda; supplied September 21, 2026.</x:v>
      </x:c>
      <x:c r="E18" s="29" t="str">
        <x:v>http://www.meteorologiaespacial.cl/</x:v>
      </x:c>
      <x:c r="F18" s="29" t="str">
        <x:v>Preferred dataset citation/license remains to be confirmed with custodian. Personal communication is not a recoverable dataset DOI.</x:v>
      </x:c>
      <x:c r="G18" s="30" t="str">
        <x:v>Not in the 60-paper count; dataset/software/archive documentation.</x:v>
      </x:c>
    </x:row>
    <x:row r="19" ht="76" customHeight="1">
      <x:c r="A19" s="28" t="str">
        <x:v>D018</x:v>
      </x:c>
      <x:c r="B19" s="29" t="str">
        <x:v>Johan Garcia / Simon Sundberg, Karlstad University</x:v>
      </x:c>
      <x:c r="C19" s="29" t="str">
        <x:v>A Detailed Characterization of Starlink One-way Delay dataset</x:v>
      </x:c>
      <x:c r="D19" s="29" t="str">
        <x:v>Garcia, J., &amp; Sundberg, S. (2025). Dataset for “A Detailed Characterization of Starlink One-way Delay” [Data set]. Zenodo. https://doi.org/10.5281/zenodo.16275284</x:v>
      </x:c>
      <x:c r="E19" s="29" t="str">
        <x:v>https://zenodo.org/records/16275284</x:v>
      </x:c>
      <x:c r="F19" s="29" t="str">
        <x:v>Follow Zenodo license; provider requests usual paper and dataset citations.</x:v>
      </x:c>
      <x:c r="G19" s="30" t="str">
        <x:v>Not in the 60-paper count; dataset/software/archive documentation.</x:v>
      </x:c>
    </x:row>
    <x:row r="20" ht="76" customHeight="1">
      <x:c r="A20" s="28" t="str">
        <x:v>D019</x:v>
      </x:c>
      <x:c r="B20" s="29" t="str">
        <x:v>Johan Garcia and coauthors, Karlstad University</x:v>
      </x:c>
      <x:c r="C20" s="29" t="str">
        <x:v>Throughput burst / Markov-model companion</x:v>
      </x:c>
      <x:c r="D20" s="29" t="str">
        <x:v>See L037 for full verified paper citation. A code/model release needs its own version/commit and license when downloaded.</x:v>
      </x:c>
      <x:c r="E20" s="29" t="str">
        <x:v>https://doi.org/10.1016/j.comcom.2025.108090</x:v>
      </x:c>
      <x:c r="F20" s="29" t="str">
        <x:v>Paper citation plus code-specific license/version; no inference that publication grants all code/data reuse.</x:v>
      </x:c>
      <x:c r="G20" s="30" t="str">
        <x:v>Not in the 60-paper count; dataset/software/archive documentation.</x:v>
      </x:c>
    </x:row>
    <x:row r="21" ht="76" customHeight="1">
      <x:c r="A21" s="28" t="str">
        <x:v>D020</x:v>
      </x:c>
      <x:c r="B21" s="29" t="str">
        <x:v>Libre Space Foundation / SatNOGS decoder contributors</x:v>
      </x:c>
      <x:c r="C21" s="29" t="str">
        <x:v>OPS-SAT Kaitai decoder definition opssat1.ksy</x:v>
      </x:c>
      <x:c r="D21" s="29" t="str">
        <x:v>Libre Space Foundation. (n.d.). opssat1.ksy, in satnogs-decoders [Computer software]. GitLab. Record the exact commit used in the controlled run.</x:v>
      </x:c>
      <x:c r="E21" s="29" t="str">
        <x:v>https://gitlab.com/librespacefoundation/satnogs/satnogs-decoders/-/blob/master/ksy/opssat1.ksy</x:v>
      </x:c>
      <x:c r="F21" s="29" t="str">
        <x:v>Retain repository license and contributor credits; pin commit.</x:v>
      </x:c>
      <x:c r="G21" s="30" t="str">
        <x:v>Not in the 60-paper count; dataset/software/archive documentation.</x:v>
      </x:c>
    </x:row>
    <x:row r="22" ht="76" customHeight="1">
      <x:c r="A22" s="28" t="str">
        <x:v>D021</x:v>
      </x:c>
      <x:c r="B22" s="29" t="str">
        <x:v>European Space Agency OPS-SAT team</x:v>
      </x:c>
      <x:c r="C22" s="29" t="str">
        <x:v>OPS-SAT-1 UHF Telemetry Analysis</x:v>
      </x:c>
      <x:c r="D22" s="29" t="str">
        <x:v>European Space Agency. (n.d.). OPS-SAT-1 UHF telemetry analysis [Technical documentation]. https://live.opssat.esa.int/ops-sat-1/docs/tm_analysis.html</x:v>
      </x:c>
      <x:c r="E22" s="29" t="str">
        <x:v>https://live.opssat.esa.int/ops-sat-1/docs/tm_analysis.html</x:v>
      </x:c>
      <x:c r="F22" s="29" t="str">
        <x:v>ESA website/data terms; identify the analyzed dataset/version if reused.</x:v>
      </x:c>
      <x:c r="G22" s="30" t="str">
        <x:v>Not in the 60-paper count; dataset/software/archive documentation.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c9f9525db5824d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1" hidden="0" customWidth="1"/>
    <x:col min="3" max="3" width="64" hidden="0" customWidth="1"/>
    <x:col min="4" max="4" width="73" hidden="0" customWidth="1"/>
    <x:col min="5" max="5" width="70" hidden="0" customWidth="1"/>
    <x:col min="6" max="6" width="39" hidden="0" customWidth="1"/>
  </x:cols>
  <x:sheetData>
    <x:row r="1" ht="32" customHeight="1">
      <x:c r="A1" s="22" t="str">
        <x:v>Section</x:v>
      </x:c>
      <x:c r="B1" s="23" t="str">
        <x:v>Current heading</x:v>
      </x:c>
      <x:c r="C1" s="23" t="str">
        <x:v>Literature question</x:v>
      </x:c>
      <x:c r="D1" s="23" t="str">
        <x:v>Initial source allocation (IDs)</x:v>
      </x:c>
      <x:c r="E1" s="23" t="str">
        <x:v>What not to claim</x:v>
      </x:c>
      <x:c r="F1" s="24" t="str">
        <x:v>Use rule</x:v>
      </x:c>
    </x:row>
    <x:row r="2" ht="82" customHeight="1">
      <x:c r="A2" s="28" t="str">
        <x:v>2.1</x:v>
      </x:c>
      <x:c r="B2" s="29" t="str">
        <x:v>Introduction</x:v>
      </x:c>
      <x:c r="C2" s="29" t="str">
        <x:v>Set the scope and literature families; do not repeat the full bibliography.</x:v>
      </x:c>
      <x:c r="D2" s="29" t="str">
        <x:v>O001;O002;L001;L039;D003</x:v>
      </x:c>
      <x:c r="E2" s="29" t="str">
        <x:v>Use a short roadmap. Source lists are not evidence that the literature has already established the proposed research gap.</x:v>
      </x:c>
      <x:c r="F2" s="30" t="str">
        <x:v>Assign sources on actual claim support; reuse across sections allowed.</x:v>
      </x:c>
    </x:row>
    <x:row r="3" ht="82" customHeight="1">
      <x:c r="A3" s="28" t="str">
        <x:v>2.2</x:v>
      </x:c>
      <x:c r="B3" s="29" t="str">
        <x:v>Ground-Centric Satellite Communications and Processing</x:v>
      </x:c>
      <x:c r="C3" s="29" t="str">
        <x:v>Architecture, networking, empirical latency and throughput; baseline assumptions.</x:v>
      </x:c>
      <x:c r="D3" s="29" t="str">
        <x:v>O001;L001;L002;L003;L004;L005;L037;L038;L048;L049;D002;D016;D018</x:v>
      </x:c>
      <x:c r="E3" s="29" t="str">
        <x:v>Starlink papers are analogous network-performance evidence, not direct OPS-SAT radio calibration.</x:v>
      </x:c>
      <x:c r="F3" s="30" t="str">
        <x:v>Assign sources on actual claim support; reuse across sections allowed.</x:v>
      </x:c>
    </x:row>
    <x:row r="4" ht="82" customHeight="1">
      <x:c r="A4" s="28" t="str">
        <x:v>2.3</x:v>
      </x:c>
      <x:c r="B4" s="29" t="str">
        <x:v>Orbital Edge Processing and Bounded AI/ML</x:v>
      </x:c>
      <x:c r="C4" s="29" t="str">
        <x:v>Processing location, finite compute, data reduction and onboard experiments.</x:v>
      </x:c>
      <x:c r="D4" s="29" t="str">
        <x:v>L006;L007;L008;L009;L010;L011;L012;L029;L030;L039;L040;L041;L042;L043;L044;L045;L046;L047;L050;L051;D001;D015;O004</x:v>
      </x:c>
      <x:c r="E4" s="29" t="str">
        <x:v>Anomaly labels are not measured inference times. Data reduction alone does not prove improved information quality.</x:v>
      </x:c>
      <x:c r="F4" s="30" t="str">
        <x:v>Assign sources on actual claim support; reuse across sections allowed.</x:v>
      </x:c>
    </x:row>
    <x:row r="5" ht="82" customHeight="1">
      <x:c r="A5" s="28" t="str">
        <x:v>2.4</x:v>
      </x:c>
      <x:c r="B5" s="29" t="str">
        <x:v>Degraded Communications, Environmental Conditions, and Resilience</x:v>
      </x:c>
      <x:c r="C5" s="29" t="str">
        <x:v>Stressors and performance mechanisms; separate environmental measurements from link impairment.</x:v>
      </x:c>
      <x:c r="D5" s="29" t="str">
        <x:v>L005;L013;L014;L015;L016;L017;L031;L032;L033;L034;L035;L036;L037;L038;L048;L049;L052;L053;L054;L055;L056;D003;D004;D005;D006;D007;D008;D009;D010;O002</x:v>
      </x:c>
      <x:c r="E5" s="29" t="str">
        <x:v>Only D003–D005 have inspected temporal/context evidence here. Other data routes must pass file, QC and location checks.</x:v>
      </x:c>
      <x:c r="F5" s="30" t="str">
        <x:v>Assign sources on actual claim support; reuse across sections allowed.</x:v>
      </x:c>
    </x:row>
    <x:row r="6" ht="82" customHeight="1">
      <x:c r="A6" s="28" t="str">
        <x:v>2.5</x:v>
      </x:c>
      <x:c r="B6" s="29" t="str">
        <x:v>Discrete-Event Simulation for Architecture Evaluation</x:v>
      </x:c>
      <x:c r="C6" s="29" t="str">
        <x:v>Queues, conceptual models, V&amp;V, uncertainty, replications and sensitivity.</x:v>
      </x:c>
      <x:c r="D6" s="29" t="str">
        <x:v>L003;L004;L018;L019;L020;L021;L022;L023;L024;L025;L037;L057;L058;L060;O003</x:v>
      </x:c>
      <x:c r="E6" s="29" t="str">
        <x:v>Literature supplies methods; exact FCFS equations, seeds, outage logic and MATLAB regression belong in Chapter 3.</x:v>
      </x:c>
      <x:c r="F6" s="30" t="str">
        <x:v>Assign sources on actual claim support; reuse across sections allowed.</x:v>
      </x:c>
    </x:row>
    <x:row r="7" ht="82" customHeight="1">
      <x:c r="A7" s="28" t="str">
        <x:v>2.6</x:v>
      </x:c>
      <x:c r="B7" s="29" t="str">
        <x:v>Empirical Data Fusion and the ACE Framework</x:v>
      </x:c>
      <x:c r="C7" s="29" t="str">
        <x:v>Temporal association, provenance, normalization, missingness and justified variable mapping.</x:v>
      </x:c>
      <x:c r="D7" s="29" t="str">
        <x:v>L013;L014;L016;L026;L027;L028;L031;L032;L033;L034;L039;L040;L042;L048;L050;L051;L053;L054;L055;L056;L059;L060;D001;D002;D003;D004;D005;D020</x:v>
      </x:c>
      <x:c r="E7" s="29" t="str">
        <x:v>Simultaneity is a documented association rule, not identical timestamps, statistical independence, or proof of environmental causation.</x:v>
      </x:c>
      <x:c r="F7" s="30" t="str">
        <x:v>Assign sources on actual claim support; reuse across sections allowed.</x:v>
      </x:c>
    </x:row>
    <x:row r="8" ht="82" customHeight="1">
      <x:c r="A8" s="28" t="str">
        <x:v>2.7</x:v>
      </x:c>
      <x:c r="B8" s="29" t="str">
        <x:v>Literature Synthesis, Research Gap, and Praxis Implications</x:v>
      </x:c>
      <x:c r="C8" s="29" t="str">
        <x:v>Compare what prior work actually addresses; identify a bounded, evidenced gap.</x:v>
      </x:c>
      <x:c r="D8" s="29" t="str">
        <x:v>L001;L005;L006;L007;L035;L036;L038;L039;L041;L045;L049;O001;O002;O003</x:v>
      </x:c>
      <x:c r="E8" s="29" t="str">
        <x:v>A missing exact 2022 dataset combination does not alone establish novelty. Complete full-text comparison before claiming no prior integrated study.</x:v>
      </x:c>
      <x:c r="F8" s="30" t="str">
        <x:v>Assign sources on actual claim support; reuse across sections allowed.</x:v>
      </x:c>
    </x:row>
  </x:sheetData>
  <x:pageMargins left="0.7" right="0.7" top="0.75" bottom="0.75" header="0.3" footer="0.3"/>
  <x:tableParts count="1">
    <x:tablePart xmlns:r="http://schemas.openxmlformats.org/officeDocument/2006/relationships" r:id="R07581b7a102041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0" hidden="0" customWidth="1"/>
    <x:col min="4" max="4" width="9" hidden="0" customWidth="1"/>
    <x:col min="5" max="5" width="56" hidden="0" customWidth="1"/>
    <x:col min="6" max="6" width="30" hidden="0" customWidth="1"/>
    <x:col min="7" max="7" width="18" hidden="0" customWidth="1"/>
    <x:col min="8" max="8" width="80" hidden="0" customWidth="1"/>
    <x:col min="9" max="9" width="70" hidden="0" customWidth="1"/>
    <x:col min="10" max="10" width="70" hidden="0" customWidth="1"/>
  </x:cols>
  <x:sheetData>
    <x:row r="1" ht="32" customHeight="1">
      <x:c r="A1" s="22" t="str">
        <x:v>ID</x:v>
      </x:c>
      <x:c r="B1" s="23" t="str">
        <x:v>Owner</x:v>
      </x:c>
      <x:c r="C1" s="23" t="str">
        <x:v>Location</x:v>
      </x:c>
      <x:c r="D1" s="23" t="str">
        <x:v>Year</x:v>
      </x:c>
      <x:c r="E1" s="23" t="str">
        <x:v>Title</x:v>
      </x:c>
      <x:c r="F1" s="23" t="str">
        <x:v>Type</x:v>
      </x:c>
      <x:c r="G1" s="23" t="str">
        <x:v>Sections</x:v>
      </x:c>
      <x:c r="H1" s="23" t="str">
        <x:v>Working citation</x:v>
      </x:c>
      <x:c r="I1" s="23" t="str">
        <x:v>Source link</x:v>
      </x:c>
      <x:c r="J1" s="24" t="str">
        <x:v>Scope / verification</x:v>
      </x:c>
    </x:row>
    <x:row r="2" ht="95" customHeight="1">
      <x:c r="A2" s="28" t="str">
        <x:v>O001</x:v>
      </x:c>
      <x:c r="B2" s="29" t="str">
        <x:v>NASA</x:v>
      </x:c>
      <x:c r="C2" s="29" t="str">
        <x:v>USA</x:v>
      </x:c>
      <x:c r="D2" s="29" t="str">
        <x:v>2013</x:v>
      </x:c>
      <x:c r="E2" s="29" t="str">
        <x:v>Space Communications and Navigation (SCaN) Network Architecture Definition Document: Executive Summary, Volume 1, Revision 4</x:v>
      </x:c>
      <x:c r="F2" s="29" t="str">
        <x:v>Government architecture document</x:v>
      </x:c>
      <x:c r="G2" s="29" t="str">
        <x:v>2.1;2.2;2.7</x:v>
      </x:c>
      <x:c r="H2" s="29" t="str">
        <x:v>NASA. (2013). Space Communications and Navigation (SCaN) Network Architecture Definition Document: Executive Summary, Volume 1, Revision 4.</x:v>
      </x:c>
      <x:c r="I2" s="29" t="str">
        <x:v>https://www.nasa.gov/wp-content/uploads/2023/09/scan-add-vol1rev4.pdf</x:v>
      </x:c>
      <x:c r="J2" s="30" t="str">
        <x:v>Inherited exact reference from AIS CFG010. Architecture, not measured OPS-SAT performance or a peer-reviewed article.</x:v>
      </x:c>
    </x:row>
    <x:row r="3" ht="95" customHeight="1">
      <x:c r="A3" s="28" t="str">
        <x:v>O002</x:v>
      </x:c>
      <x:c r="B3" s="29" t="str">
        <x:v>RAND / Osoba and coauthors</x:v>
      </x:c>
      <x:c r="C3" s="29" t="str">
        <x:v>USA</x:v>
      </x:c>
      <x:c r="D3" s="29" t="str">
        <x:v>2023</x:v>
      </x:c>
      <x:c r="E3" s="29" t="str">
        <x:v>The resilience assessment framework: Assessing commercial contributions to U.S. Space Force mission resilience</x:v>
      </x:c>
      <x:c r="F3" s="29" t="str">
        <x:v>Research report</x:v>
      </x:c>
      <x:c r="G3" s="29" t="str">
        <x:v>2.1;2.4;2.7</x:v>
      </x:c>
      <x:c r="H3" s="29" t="str">
        <x:v>Osoba, O. A., Nacouzi, G., Hagen, J., Tran, J., Zhang, L. A., Herron, M., Lynch, C., Eisman, M., &amp; Barton, C. (2023). The resilience assessment framework: Assessing commercial contributions to U.S. Space Force mission resilience (RR-A980-1). RAND Corporation. https://doi.org/10.7249/RRA980-1</x:v>
      </x:c>
      <x:c r="I3" s="29" t="str">
        <x:v>https://doi.org/10.7249/RRA980-1</x:v>
      </x:c>
      <x:c r="J3" s="30" t="str">
        <x:v>Inherited from AIS CFG010. Resilience framework, not target-window data. Conservatively excluded from the journal/conference quota.</x:v>
      </x:c>
    </x:row>
    <x:row r="4" ht="95" customHeight="1">
      <x:c r="A4" s="28" t="str">
        <x:v>O003</x:v>
      </x:c>
      <x:c r="B4" s="29" t="str">
        <x:v>U.S. Government Accountability Office</x:v>
      </x:c>
      <x:c r="C4" s="29" t="str">
        <x:v>USA</x:v>
      </x:c>
      <x:c r="D4" s="29" t="str">
        <x:v>2020</x:v>
      </x:c>
      <x:c r="E4" s="29" t="str">
        <x:v>Technology readiness assessment guide: Best practices for evaluating the readiness of technology for use in acquisition programs and projects</x:v>
      </x:c>
      <x:c r="F4" s="29" t="str">
        <x:v>Government assessment guide</x:v>
      </x:c>
      <x:c r="G4" s="29" t="str">
        <x:v>2.5;2.7</x:v>
      </x:c>
      <x:c r="H4" s="29" t="str">
        <x:v>U.S. Government Accountability Office. (2020). Technology readiness assessment guide: Best practices for evaluating the readiness of technology for use in acquisition programs and projects (GAO-20-48G).</x:v>
      </x:c>
      <x:c r="I4" s="29" t="str">
        <x:v>https://www.gao.gov/products/gao-20-48g</x:v>
      </x:c>
      <x:c r="J4" s="30" t="str">
        <x:v>Source supplied earlier in the conversation. Evidence/readiness framing only; not authority to claim a TRL or a performance gain from a spreadsheet.</x:v>
      </x:c>
    </x:row>
    <x:row r="5" ht="95" customHeight="1">
      <x:c r="A5" s="28" t="str">
        <x:v>O004</x:v>
      </x:c>
      <x:c r="B5" s="29" t="str">
        <x:v>NASA Jet Propulsion Laboratory</x:v>
      </x:c>
      <x:c r="C5" s="29" t="str">
        <x:v>USA</x:v>
      </x:c>
      <x:c r="D5" s="29" t="str">
        <x:v>n.d.</x:v>
      </x:c>
      <x:c r="E5" s="29" t="str">
        <x:v>Autonomous Sciencecraft Experiment</x:v>
      </x:c>
      <x:c r="F5" s="29" t="str">
        <x:v>Project documentation</x:v>
      </x:c>
      <x:c r="G5" s="29" t="str">
        <x:v>2.3;2.7</x:v>
      </x:c>
      <x:c r="H5" s="29" t="str">
        <x:v>NASA Jet Propulsion Laboratory. (n.d.). Autonomous Sciencecraft Experiment [Project documentation]. https://ai.jpl.nasa.gov/public/projects/ase/</x:v>
      </x:c>
      <x:c r="I5" s="29" t="str">
        <x:v>https://ai.jpl.nasa.gov/public/projects/ase/</x:v>
      </x:c>
      <x:c r="J5" s="30" t="str">
        <x:v>Recorded in existing AIS material. Select a refereed mission paper for scientific claims; this project page is not a new raw dataset.</x:v>
      </x:c>
    </x:row>
    <x:row r="6" ht="140" customHeight="1">
      <x:c r="A6" s="49" t="str">
        <x:v>O005</x:v>
      </x:c>
      <x:c r="B6" s="49" t="str">
        <x:v>California State Water Resources Control Board</x:v>
      </x:c>
      <x:c r="C6" s="49" t="str">
        <x:v>United States (agency scope)</x:v>
      </x:c>
      <x:c r="D6" s="49" t="str">
        <x:v>n.d.</x:v>
      </x:c>
      <x:c r="E6" s="49" t="str">
        <x:v>California satellite HAB map</x:v>
      </x:c>
      <x:c r="F6" s="49" t="str">
        <x:v>Government / agency guidance</x:v>
      </x:c>
      <x:c r="G6" s="49" t="str">
        <x:v>2.3</x:v>
      </x:c>
      <x:c r="H6" s="49" t="str">
        <x:v>California State Water Resources Control Board. (n.d.). California satellite HAB map. My Water Quality. Retrieved October 24, 2026, from https://www.mywaterquality.ca.gov/habs/resources/satellite-map.html</x:v>
      </x:c>
      <x:c r="I6" s="49" t="str">
        <x:v>https://www.mywaterquality.ca.gov/habs/resources/satellite-map.html</x:v>
      </x:c>
      <x:c r="J6" s="49" t="str">
        <x:v>Cited in proposed §2.3, body pp. 15–16; official agency guidance/context, excluded from scholarly-publication count. Citation inventory and body-page mapping checked against the supplied expansion; original publication not re-audited in this reconciliation. Carlo reading/approval pending.</x:v>
      </x:c>
    </x:row>
    <x:row r="7" ht="140" customHeight="1">
      <x:c r="A7" s="49" t="str">
        <x:v>O006</x:v>
      </x:c>
      <x:c r="B7" s="49" t="str">
        <x:v>U.S. Environmental Protection Agency</x:v>
      </x:c>
      <x:c r="C7" s="49" t="str">
        <x:v>United States (agency scope)</x:v>
      </x:c>
      <x:c r="D7" s="49" t="str">
        <x:v>2026</x:v>
      </x:c>
      <x:c r="E7" s="49" t="str">
        <x:v>Cyanobacteria Assessment Network application (CyAN app)</x:v>
      </x:c>
      <x:c r="F7" s="49" t="str">
        <x:v>Government / agency guidance</x:v>
      </x:c>
      <x:c r="G7" s="49" t="str">
        <x:v>2.3</x:v>
      </x:c>
      <x:c r="H7" s="49" t="str">
        <x:v>U.S. Environmental Protection Agency. (2026, March 31). Cyanobacteria Assessment Network application (CyAN app). https://www.epa.gov/water-research/cyanobacteria-assessment-network-application-cyan-app</x:v>
      </x:c>
      <x:c r="I7" s="49" t="str">
        <x:v>https://www.epa.gov/water-research/cyanobacteria-assessment-network-application-cyan-app</x:v>
      </x:c>
      <x:c r="J7" s="49" t="str">
        <x:v>Cited in proposed §2.3, body pp. 7–8; official agency guidance/context, excluded from scholarly-publication count. Citation inventory and body-page mapping checked against the supplied expansion; original publication not re-audited in this reconciliation. Carlo reading/approval pending.</x:v>
      </x:c>
    </x:row>
    <x:row r="8" ht="140" customHeight="1">
      <x:c r="A8" s="49" t="str">
        <x:v>O007</x:v>
      </x:c>
      <x:c r="B8" s="49" t="str">
        <x:v>U.S. Environmental Protection Agency, &amp; Centers for Disease Control and Prevention</x:v>
      </x:c>
      <x:c r="C8" s="49" t="str">
        <x:v>United States (agency scope)</x:v>
      </x:c>
      <x:c r="D8" s="49" t="str">
        <x:v>2014</x:v>
      </x:c>
      <x:c r="E8" s="49" t="str">
        <x:v>Air quality and outdoor activity guidance for schools (EPA-456/F-14-003)</x:v>
      </x:c>
      <x:c r="F8" s="49" t="str">
        <x:v>Government / agency guidance</x:v>
      </x:c>
      <x:c r="G8" s="49" t="str">
        <x:v>2.3</x:v>
      </x:c>
      <x:c r="H8" s="49" t="str">
        <x:v>U.S. Environmental Protection Agency, &amp; Centers for Disease Control and Prevention. (2014, August). Air quality and outdoor activity guidance for schools (EPA-456/F-14-003). https://stacks.cdc.gov/view/cdc/108685/cdc_108685_DS1.pdf</x:v>
      </x:c>
      <x:c r="I8" s="49" t="str">
        <x:v>https://stacks.cdc.gov/view/cdc/108685/cdc_108685_DS1.pdf</x:v>
      </x:c>
      <x:c r="J8" s="49" t="str">
        <x:v>Cited in proposed §2.3, body pp. 5, 13; official agency guidance/context, excluded from scholarly-publication count. Citation inventory and body-page mapping checked against the supplied expansion; original publication not re-audited in this reconciliation. Carlo reading/approval pending.</x:v>
      </x:c>
    </x:row>
  </x:sheetData>
  <x:pageMargins left="0.7" right="0.7" top="0.75" bottom="0.75" header="0.3" footer="0.3"/>
  <x:tableParts count="1">
    <x:tablePart xmlns:r="http://schemas.openxmlformats.org/officeDocument/2006/relationships" r:id="Re6b43710220d47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9" hidden="0" customWidth="1"/>
    <x:col min="4" max="4" width="70" hidden="0" customWidth="1"/>
    <x:col min="5" max="5" width="24" hidden="0" customWidth="1"/>
    <x:col min="6" max="6" width="50" hidden="0" customWidth="1"/>
    <x:col min="7" max="7" width="70" hidden="0" customWidth="1"/>
    <x:col min="8" max="8" width="70" hidden="0" customWidth="1"/>
    <x:col min="9" max="9" width="61" hidden="0" customWidth="1"/>
  </x:cols>
  <x:sheetData>
    <x:row r="1" ht="32" customHeight="1">
      <x:c r="A1" s="22" t="str">
        <x:v>AIS ID</x:v>
      </x:c>
      <x:c r="B1" s="23" t="str">
        <x:v>Author</x:v>
      </x:c>
      <x:c r="C1" s="23" t="str">
        <x:v>Year</x:v>
      </x:c>
      <x:c r="D1" s="23" t="str">
        <x:v>Title</x:v>
      </x:c>
      <x:c r="E1" s="23" t="str">
        <x:v>Source type</x:v>
      </x:c>
      <x:c r="F1" s="23" t="str">
        <x:v>Method (register description)</x:v>
      </x:c>
      <x:c r="G1" s="23" t="str">
        <x:v>Prior intended use</x:v>
      </x:c>
      <x:c r="H1" s="23" t="str">
        <x:v>Original locator</x:v>
      </x:c>
      <x:c r="I1" s="24" t="str">
        <x:v>Verification / counting boundary</x:v>
      </x:c>
    </x:row>
    <x:row r="2" ht="82" customHeight="1">
      <x:c r="A2" s="28" t="str">
        <x:v>TEST</x:v>
      </x:c>
      <x:c r="B2" s="29" t="str">
        <x:v>John M. Bauer</x:v>
      </x:c>
      <x:c r="C2" s="29" t="str">
        <x:v>2025</x:v>
      </x:c>
      <x:c r="D2" s="29" t="str">
        <x:v>Application of Monte Carlo Simulation for the Probabilistic Assessment of Hydropower Generator Capacity Loss Due to Forced Outages</x:v>
      </x:c>
      <x:c r="E2" s="29" t="str">
        <x:v>GWU D.Eng. Praxis</x:v>
      </x:c>
      <x:c r="F2" s="29" t="str">
        <x:v>Monte Carlo simulation; probabilistic availability modeling</x:v>
      </x:c>
      <x:c r="G2" s="29" t="str">
        <x:v>Method precedent for probabilistic degraded-state modeling and validation against later observations.</x:v>
      </x:c>
      <x:c r="H2" s="29" t="str">
        <x:v>https://scholarspace.library.gwu.edu/concern/gw_etds/tt44pn765</x:v>
      </x:c>
      <x:c r="I2" s="30" t="str">
        <x:v>Inherited from AIS CFG010; not counted as a refereed journal/conference article; full text not rechecked in this register build.</x:v>
      </x:c>
    </x:row>
    <x:row r="3" ht="82" customHeight="1">
      <x:c r="A3" s="28" t="str">
        <x:v>001</x:v>
      </x:c>
      <x:c r="B3" s="29" t="str">
        <x:v>John R. Mueller</x:v>
      </x:c>
      <x:c r="C3" s="29" t="str">
        <x:v>2022</x:v>
      </x:c>
      <x:c r="D3" s="29" t="str">
        <x:v>Comparison of Machine Learning Methods for Mission Generated Orbital Debris Estimation in Space Operations Planning</x:v>
      </x:c>
      <x:c r="E3" s="29" t="str">
        <x:v>GWU D.Eng. Praxis</x:v>
      </x:c>
      <x:c r="F3" s="29" t="str">
        <x:v>Machine-learning model comparison; multiple linear regression baseline</x:v>
      </x:c>
      <x:c r="G3" s="29" t="str">
        <x:v>Precedent for public-data pedigree, baseline comparison, and defensible AI/ML model selection.</x:v>
      </x:c>
      <x:c r="H3" s="29" t="str">
        <x:v>https://scholarspace.library.gwu.edu/downloads/cv43nx61h?disposition=attachment&amp;locale=en</x:v>
      </x:c>
      <x:c r="I3" s="30" t="str">
        <x:v>Inherited from AIS CFG010; not counted as a refereed journal/conference article; full text not rechecked in this register build.</x:v>
      </x:c>
    </x:row>
    <x:row r="4" ht="82" customHeight="1">
      <x:c r="A4" s="28" t="str">
        <x:v>002</x:v>
      </x:c>
      <x:c r="B4" s="29" t="str">
        <x:v>Nesrine Nagui Taha</x:v>
      </x:c>
      <x:c r="C4" s="29" t="str">
        <x:v>2022</x:v>
      </x:c>
      <x:c r="D4" s="29" t="str">
        <x:v>Engineering Management Methodology for Assessing and Improving the Cyber Resilience of Critical Infrastructures</x:v>
      </x:c>
      <x:c r="E4" s="29" t="str">
        <x:v>GWU D.Eng. Praxis</x:v>
      </x:c>
      <x:c r="F4" s="29" t="str">
        <x:v>Python simulation; architecture-resilience modeling</x:v>
      </x:c>
      <x:c r="G4" s="29" t="str">
        <x:v>Useful for defining degraded-state architecture behavior and operator-action time as a decision metric.</x:v>
      </x:c>
      <x:c r="H4" s="29" t="str">
        <x:v>https://scholarspace.library.gwu.edu/etd/gb19f652r</x:v>
      </x:c>
      <x:c r="I4" s="30" t="str">
        <x:v>Inherited from AIS CFG010; not counted as a refereed journal/conference article; full text not rechecked in this register build.</x:v>
      </x:c>
    </x:row>
    <x:row r="5" ht="82" customHeight="1">
      <x:c r="A5" s="28" t="str">
        <x:v>003</x:v>
      </x:c>
      <x:c r="B5" s="29" t="str">
        <x:v>Nila Fridley</x:v>
      </x:c>
      <x:c r="C5" s="29" t="str">
        <x:v>2025</x:v>
      </x:c>
      <x:c r="D5" s="29" t="str">
        <x:v>A Comparative Simulation of Human and AI Operators: Autonomous ISR Analysis in Orbit</x:v>
      </x:c>
      <x:c r="E5" s="29" t="str">
        <x:v>GWU D.Eng. Praxis</x:v>
      </x:c>
      <x:c r="F5" s="29" t="str">
        <x:v>Comparative simulation of human and AI operators</x:v>
      </x:c>
      <x:c r="G5" s="29" t="str">
        <x:v>High-value analogue for latency, human-machine allocation, ground dependence, and operator workload.</x:v>
      </x:c>
      <x:c r="H5" s="29" t="str">
        <x:v>https://scholarspace.library.gwu.edu/concern/gw_etds/qv33rx81r</x:v>
      </x:c>
      <x:c r="I5" s="30" t="str">
        <x:v>Inherited from AIS CFG010; not counted as a refereed journal/conference article; full text not rechecked in this register build.</x:v>
      </x:c>
    </x:row>
    <x:row r="6" ht="82" customHeight="1">
      <x:c r="A6" s="28" t="str">
        <x:v>004</x:v>
      </x:c>
      <x:c r="B6" s="29" t="str">
        <x:v>Dylan Browne</x:v>
      </x:c>
      <x:c r="C6" s="29" t="str">
        <x:v>2024</x:v>
      </x:c>
      <x:c r="D6" s="29" t="str">
        <x:v>Electric Vehicle Charge Station Expansion Analysis for EV Owners in Maryland: Stochastic Model Utilizing Monte Carlo Simulation Methodology to Determine Arrival Rates, Utilization and Wait Times of Electric Vehicles at Charge Station Infrastructure</x:v>
      </x:c>
      <x:c r="E6" s="29" t="str">
        <x:v>GWU D.Eng. Praxis</x:v>
      </x:c>
      <x:c r="F6" s="29" t="str">
        <x:v>Discrete-event simulation; Monte Carlo; queueing</x:v>
      </x:c>
      <x:c r="G6" s="29" t="str">
        <x:v>Potential template for MATLAB/DES experiments on processing queues, link bottlenecks, and latency distributions.</x:v>
      </x:c>
      <x:c r="H6" s="29" t="str">
        <x:v>https://scholarspace.library.gwu.edu/etd/1v53jx95k</x:v>
      </x:c>
      <x:c r="I6" s="30" t="str">
        <x:v>Inherited from AIS CFG010; not counted as a refereed journal/conference article; full text not rechecked in this register build.</x:v>
      </x:c>
    </x:row>
    <x:row r="7" ht="82" customHeight="1">
      <x:c r="A7" s="28" t="str">
        <x:v>005</x:v>
      </x:c>
      <x:c r="B7" s="29" t="str">
        <x:v>Scott Littlefield</x:v>
      </x:c>
      <x:c r="C7" s="29" t="str">
        <x:v>2017</x:v>
      </x:c>
      <x:c r="D7" s="29" t="str">
        <x:v>Application of Discrete Event Simulation to Modeling Reliability of Highly Parallel Systems with Common Cause Failures</x:v>
      </x:c>
      <x:c r="E7" s="29" t="str">
        <x:v>GWU D.Eng. Praxis</x:v>
      </x:c>
      <x:c r="F7" s="29" t="str">
        <x:v>Discrete-event simulation; reliability; sensitivity analysis</x:v>
      </x:c>
      <x:c r="G7" s="29" t="str">
        <x:v>Use for degraded/disrupted architecture scenarios, common-mode failures, redundancy, and sensitivity analysis.</x:v>
      </x:c>
      <x:c r="H7" s="29" t="str">
        <x:v>https://scholarspace.library.gwu.edu/downloads/x059c743t?disposition=inline&amp;locale=en</x:v>
      </x:c>
      <x:c r="I7" s="30" t="str">
        <x:v>Inherited from AIS CFG010; not counted as a refereed journal/conference article; full text not rechecked in this register build.</x:v>
      </x:c>
    </x:row>
    <x:row r="8" ht="82" customHeight="1">
      <x:c r="A8" s="28" t="str">
        <x:v>006</x:v>
      </x:c>
      <x:c r="B8" s="29" t="str">
        <x:v>Kenneth Stavish</x:v>
      </x:c>
      <x:c r="C8" s="29" t="str">
        <x:v>2018</x:v>
      </x:c>
      <x:c r="D8" s="29" t="str">
        <x:v>Resilience Analysis of Inertial Navigation Systems (INS) through an Enhanced INS Tool Kit</x:v>
      </x:c>
      <x:c r="E8" s="29" t="str">
        <x:v>GWU D.Eng. Praxis</x:v>
      </x:c>
      <x:c r="F8" s="29" t="str">
        <x:v>Simulation/toolkit; nonparametric statistical comparison</x:v>
      </x:c>
      <x:c r="G8" s="29" t="str">
        <x:v>Precedent for imposed degradation, architecture comparison, resilience MOEs, and statistical significance.</x:v>
      </x:c>
      <x:c r="H8" s="29" t="str">
        <x:v>https://scholarspace.library.gwu.edu/etd/tt44pn013</x:v>
      </x:c>
      <x:c r="I8" s="30" t="str">
        <x:v>Inherited from AIS CFG010; not counted as a refereed journal/conference article; full text not rechecked in this register build.</x:v>
      </x:c>
    </x:row>
    <x:row r="9" ht="82" customHeight="1">
      <x:c r="A9" s="28" t="str">
        <x:v>007</x:v>
      </x:c>
      <x:c r="B9" s="29" t="str">
        <x:v>Jonathan C. Bierce</x:v>
      </x:c>
      <x:c r="C9" s="29" t="str">
        <x:v>2023</x:v>
      </x:c>
      <x:c r="D9" s="29" t="str">
        <x:v>System Design Under Uncertain Time-Varying Requirements: Nuclear Weapons Case Study</x:v>
      </x:c>
      <x:c r="E9" s="29" t="str">
        <x:v>GWU D.Eng. Praxis</x:v>
      </x:c>
      <x:c r="F9" s="29" t="str">
        <x:v>Robust optimization; scenario analysis; Pareto trade space</x:v>
      </x:c>
      <x:c r="G9" s="29" t="str">
        <x:v>Use for architecture trade-space framing and robustness across degraded-communications scenarios.</x:v>
      </x:c>
      <x:c r="H9" s="29" t="str">
        <x:v>https://scholarspace.library.gwu.edu/downloads/dv13zt91w?disposition=inline&amp;locale=en</x:v>
      </x:c>
      <x:c r="I9" s="30" t="str">
        <x:v>Inherited from AIS CFG010; not counted as a refereed journal/conference article; full text not rechecked in this register build.</x:v>
      </x:c>
    </x:row>
    <x:row r="10" ht="82" customHeight="1">
      <x:c r="A10" s="28" t="str">
        <x:v>008</x:v>
      </x:c>
      <x:c r="B10" s="29" t="str">
        <x:v>Phillip C. Reid</x:v>
      </x:c>
      <x:c r="C10" s="29" t="str">
        <x:v>2018</x:v>
      </x:c>
      <x:c r="D10" s="29" t="str">
        <x:v>Conceptual Framework for a Rapid Space Launch Capability</x:v>
      </x:c>
      <x:c r="E10" s="29" t="str">
        <x:v>GWU D.Eng. Praxis</x:v>
      </x:c>
      <x:c r="F10" s="29" t="str">
        <x:v>Monte Carlo; MATLAB/Simulink timeline model; sensitivity analysis; expert elicitation</x:v>
      </x:c>
      <x:c r="G10" s="29" t="str">
        <x:v>Strong template for model implementation, uncertainty propagation, sensitivity analysis, and expert-supported V&amp;V.</x:v>
      </x:c>
      <x:c r="H10" s="29" t="str">
        <x:v>https://scholarspace.library.gwu.edu/etd/z316q184z</x:v>
      </x:c>
      <x:c r="I10" s="30" t="str">
        <x:v>Inherited from AIS CFG010; not counted as a refereed journal/conference article; full text not rechecked in this register build.</x:v>
      </x:c>
    </x:row>
    <x:row r="11" ht="82" customHeight="1">
      <x:c r="A11" s="28" t="str">
        <x:v>009</x:v>
      </x:c>
      <x:c r="B11" s="29" t="str">
        <x:v>Caesar Sanosa Benipayo</x:v>
      </x:c>
      <x:c r="C11" s="29" t="str">
        <x:v>2019</x:v>
      </x:c>
      <x:c r="D11" s="29" t="str">
        <x:v>Percolation-Based Metrics to Quantify Resilience and Performance of Communication Systems</x:v>
      </x:c>
      <x:c r="E11" s="29" t="str">
        <x:v>GWU D.Eng. Praxis</x:v>
      </x:c>
      <x:c r="F11" s="29" t="str">
        <x:v>Percolation / network-resilience modeling; node/link removal</x:v>
      </x:c>
      <x:c r="G11" s="29" t="str">
        <x:v>Candidate quantitative resilience metric for network degradation thresholds and mission-function loss.</x:v>
      </x:c>
      <x:c r="H11" s="29" t="str">
        <x:v>https://scholarspace.library.gwu.edu/downloads/k3569472r?disposition=attachment&amp;locale=en</x:v>
      </x:c>
      <x:c r="I11" s="30" t="str">
        <x:v>Inherited from AIS CFG010; not counted as a refereed journal/conference article; full text not rechecked in this register build.</x:v>
      </x:c>
    </x:row>
    <x:row r="12" ht="82" customHeight="1">
      <x:c r="A12" s="28" t="str">
        <x:v>010</x:v>
      </x:c>
      <x:c r="B12" s="29" t="str">
        <x:v>James Newsom</x:v>
      </x:c>
      <x:c r="C12" s="29" t="str">
        <x:v>2022</x:v>
      </x:c>
      <x:c r="D12" s="29" t="str">
        <x:v>Automating Computer System Configurations for Maximum Performance with Minimum Latency Variance</x:v>
      </x:c>
      <x:c r="E12" s="29" t="str">
        <x:v>GWU D.Eng. Praxis</x:v>
      </x:c>
      <x:c r="F12" s="29" t="str">
        <x:v>Heuristic optimization; hill-climbing; controlled compute experiments</x:v>
      </x:c>
      <x:c r="G12" s="29" t="str">
        <x:v>Useful for parameter-sweep/optimization experiments that trade compute configuration against latency and throughput.</x:v>
      </x:c>
      <x:c r="H12" s="29" t="str">
        <x:v>https://scholarspace.library.gwu.edu/concern/gw_etds/r207tq15z</x:v>
      </x:c>
      <x:c r="I12" s="30" t="str">
        <x:v>Inherited from AIS CFG010; not counted as a refereed journal/conference article; full text not rechecked in this register build.</x:v>
      </x:c>
    </x:row>
    <x:row r="13" ht="82" customHeight="1">
      <x:c r="A13" s="28" t="str">
        <x:v>011</x:v>
      </x:c>
      <x:c r="B13" s="29" t="str">
        <x:v>Douglas McGowan</x:v>
      </x:c>
      <x:c r="C13" s="29" t="str">
        <x:v>2024</x:v>
      </x:c>
      <x:c r="D13" s="29" t="str">
        <x:v>AI and Complex Adaptive Systems: A Lifecycle Methodology for Verification and Monitoring</x:v>
      </x:c>
      <x:c r="E13" s="29" t="str">
        <x:v>GWU D.Eng. Praxis</x:v>
      </x:c>
      <x:c r="F13" s="29" t="str">
        <x:v>AI/CAS lifecycle assurance methodology; continuous monitoring and revalidation</x:v>
      </x:c>
      <x:c r="G13" s="29" t="str">
        <x:v>Strong assurance framework for defining when an AI-enabled edge system must be revalidated under changing conditions.</x:v>
      </x:c>
      <x:c r="H13" s="29" t="str">
        <x:v>https://scholarspace.library.gwu.edu/concern/gw_etds/5712m7598</x:v>
      </x:c>
      <x:c r="I13" s="30" t="str">
        <x:v>Inherited from AIS CFG010; not counted as a refereed journal/conference article; full text not rechecked in this register build.</x:v>
      </x:c>
    </x:row>
    <x:row r="14" ht="82" customHeight="1">
      <x:c r="A14" s="28" t="str">
        <x:v>012</x:v>
      </x:c>
      <x:c r="B14" s="29" t="str">
        <x:v>Ravi M. Shanbhag</x:v>
      </x:c>
      <x:c r="C14" s="29" t="str">
        <x:v>2021</x:v>
      </x:c>
      <x:c r="D14" s="29" t="str">
        <x:v>Implications of Overcommitment on Cloud Computing Workloads</x:v>
      </x:c>
      <x:c r="E14" s="29" t="str">
        <x:v>GWU D.Eng. Praxis</x:v>
      </x:c>
      <x:c r="F14" s="29" t="str">
        <x:v>Generative discrete-event simulation; cloud-resource overcommitment</x:v>
      </x:c>
      <x:c r="G14" s="29" t="str">
        <x:v>High-value DES precedent for onboard compute queues, utilization limits, congestion, and overload thresholds.</x:v>
      </x:c>
      <x:c r="H14" s="29" t="str">
        <x:v>https://scholarspace.library.gwu.edu/concern/gw_etds/bk128b72k</x:v>
      </x:c>
      <x:c r="I14" s="30" t="str">
        <x:v>Inherited from AIS CFG010; not counted as a refereed journal/conference article; full text not rechecked in this register build.</x:v>
      </x:c>
    </x:row>
    <x:row r="15" ht="82" customHeight="1">
      <x:c r="A15" s="28" t="str">
        <x:v>013</x:v>
      </x:c>
      <x:c r="B15" s="29" t="str">
        <x:v>Sean Brendan Smith</x:v>
      </x:c>
      <x:c r="C15" s="29" t="str">
        <x:v>2026</x:v>
      </x:c>
      <x:c r="D15" s="29" t="str">
        <x:v>Detecting Adversary Military Assets on Autonomous Edge Devices using Deep Learning</x:v>
      </x:c>
      <x:c r="E15" s="29" t="str">
        <x:v>GWU D.Eng. Praxis</x:v>
      </x:c>
      <x:c r="F15" s="29" t="str">
        <x:v>Edge-AI experiment; deep learning / YOLOv8 on constrained hardware</x:v>
      </x:c>
      <x:c r="G15" s="29" t="str">
        <x:v>Strong implementation precedent for measuring compute cost against analytic performance on constrained edge devices.</x:v>
      </x:c>
      <x:c r="H15" s="29" t="str">
        <x:v>https://scholarspace.library.gwu.edu/concern/gw_etds/st74cr52x</x:v>
      </x:c>
      <x:c r="I15" s="30" t="str">
        <x:v>Inherited from AIS CFG010; not counted as a refereed journal/conference article; full text not rechecked in this register build.</x:v>
      </x:c>
    </x:row>
    <x:row r="16" ht="82" customHeight="1">
      <x:c r="A16" s="28" t="str">
        <x:v>014</x:v>
      </x:c>
      <x:c r="B16" s="29" t="str">
        <x:v>Said M. Rachidi</x:v>
      </x:c>
      <x:c r="C16" s="29" t="str">
        <x:v>2024</x:v>
      </x:c>
      <x:c r="D16" s="29" t="str">
        <x:v>Real-time Lightweight Intrusion Detection System for In-Vehicle Network</x:v>
      </x:c>
      <x:c r="E16" s="29" t="str">
        <x:v>GWU D.Eng. Praxis</x:v>
      </x:c>
      <x:c r="F16" s="29" t="str">
        <x:v>ML-model comparison for lightweight real-time detection</x:v>
      </x:c>
      <x:c r="G16" s="29" t="str">
        <x:v>Useful for multi-objective selection among AI models using latency, false alarms, and compute burden.</x:v>
      </x:c>
      <x:c r="H16" s="29" t="str">
        <x:v>https://scholarspace.library.gwu.edu/concern/gw_etds/1544bq08m</x:v>
      </x:c>
      <x:c r="I16" s="30" t="str">
        <x:v>Inherited from AIS CFG010; not counted as a refereed journal/conference article; full text not rechecked in this register build.</x:v>
      </x:c>
    </x:row>
    <x:row r="17" ht="82" customHeight="1">
      <x:c r="A17" s="28" t="str">
        <x:v>015</x:v>
      </x:c>
      <x:c r="B17" s="29" t="str">
        <x:v>Carl E. Busart III</x:v>
      </x:c>
      <x:c r="C17" s="29" t="str">
        <x:v>2020</x:v>
      </x:c>
      <x:c r="D17" s="29" t="str">
        <x:v>Federated Learning Architecture to Enable Continuous Learning at the Tactical Edge for Situational Awareness</x:v>
      </x:c>
      <x:c r="E17" s="29" t="str">
        <x:v>GWU D.Eng. Praxis</x:v>
      </x:c>
      <x:c r="F17" s="29" t="str">
        <x:v>Federated learning; distributed edge architecture</x:v>
      </x:c>
      <x:c r="G17" s="29" t="str">
        <x:v>Architecture precedent for deciding what data/model updates remain local versus traverse constrained links.</x:v>
      </x:c>
      <x:c r="H17" s="29" t="str">
        <x:v>https://scholarspace.library.gwu.edu/concern/gw_etds/br86b420j</x:v>
      </x:c>
      <x:c r="I17" s="30" t="str">
        <x:v>Inherited from AIS CFG010; not counted as a refereed journal/conference article; full text not rechecked in this register build.</x:v>
      </x:c>
    </x:row>
    <x:row r="18" ht="82" customHeight="1">
      <x:c r="A18" s="28" t="str">
        <x:v>016</x:v>
      </x:c>
      <x:c r="B18" s="29" t="str">
        <x:v>George Grama</x:v>
      </x:c>
      <x:c r="C18" s="29" t="str">
        <x:v>2023</x:v>
      </x:c>
      <x:c r="D18" s="29" t="str">
        <x:v>System Dynamics Based Analysis of Global Semiconductor Supply Chain Disruptions</x:v>
      </x:c>
      <x:c r="E18" s="29" t="str">
        <x:v>GWU D.Eng. Praxis</x:v>
      </x:c>
      <x:c r="F18" s="29" t="str">
        <x:v>System Dynamics; Monte Carlo; sensitivity analysis</x:v>
      </x:c>
      <x:c r="G18" s="29" t="str">
        <x:v>Use to decide when cascading degradation/recovery requires stocks-flows and feedback rather than event queues.</x:v>
      </x:c>
      <x:c r="H18" s="29" t="str">
        <x:v>https://scholarspace.library.gwu.edu/concern/gw_etds/mg74qn00d</x:v>
      </x:c>
      <x:c r="I18" s="30" t="str">
        <x:v>Inherited from AIS CFG010; not counted as a refereed journal/conference article; full text not rechecked in this register build.</x:v>
      </x:c>
    </x:row>
    <x:row r="19" ht="82" customHeight="1">
      <x:c r="A19" s="28" t="str">
        <x:v>017</x:v>
      </x:c>
      <x:c r="B19" s="29" t="str">
        <x:v>Laura B. Hugill</x:v>
      </x:c>
      <x:c r="C19" s="29" t="str">
        <x:v>2025</x:v>
      </x:c>
      <x:c r="D19" s="29" t="str">
        <x:v>A Requirement-Driven Digital Twin Data Fusion Framework</x:v>
      </x:c>
      <x:c r="E19" s="29" t="str">
        <x:v>GWU D.Eng. Praxis</x:v>
      </x:c>
      <x:c r="F19" s="29" t="str">
        <x:v>Requirements-driven digital-twin / data-fusion framework</x:v>
      </x:c>
      <x:c r="G19" s="29" t="str">
        <x:v>Useful for bounding what data must be fused, retained, processed, or transmitted before selecting the simulation tool.</x:v>
      </x:c>
      <x:c r="H19" s="29" t="str">
        <x:v>https://search.proquest.com/openview/333ba46b81388bcc3888a092c0bf6879/1.pdf?pq-origsite=gscholar&amp;cbl=18750&amp;diss=y</x:v>
      </x:c>
      <x:c r="I19" s="30" t="str">
        <x:v>Inherited from AIS CFG010; not counted as a refereed journal/conference article; full text not rechecked in this register build.</x:v>
      </x:c>
    </x:row>
    <x:row r="20" ht="82" customHeight="1">
      <x:c r="A20" s="28" t="str">
        <x:v>018</x:v>
      </x:c>
      <x:c r="B20" s="29" t="str">
        <x:v>Shane Robinson</x:v>
      </x:c>
      <x:c r="C20" s="29" t="str">
        <x:v>2026</x:v>
      </x:c>
      <x:c r="D20" s="29" t="str">
        <x:v>Super-Resolution Enhanced Real-Time Detector for Small Objects in Aerial Imagery</x:v>
      </x:c>
      <x:c r="E20" s="29" t="str">
        <x:v>GWU D.Eng. Praxis</x:v>
      </x:c>
      <x:c r="F20" s="29" t="str">
        <x:v>Real-time edge-AI experiment; super-resolution + object detection</x:v>
      </x:c>
      <x:c r="G20" s="29" t="str">
        <x:v>Strong analogue for deciding whether added onboard processing yields enough information gain to justify compute/latency cost.</x:v>
      </x:c>
      <x:c r="H20" s="29" t="str">
        <x:v>https://scholarspace.library.gwu.edu/concern/gw_etds/k0698875j</x:v>
      </x:c>
      <x:c r="I20" s="30" t="str">
        <x:v>Inherited from AIS CFG010; not counted as a refereed journal/conference article; full text not rechecked in this register build.</x:v>
      </x:c>
    </x:row>
    <x:row r="21" ht="82" customHeight="1">
      <x:c r="A21" s="28" t="str">
        <x:v>019</x:v>
      </x:c>
      <x:c r="B21" s="29" t="str">
        <x:v>Tony Donell Barber</x:v>
      </x:c>
      <x:c r="C21" s="29" t="str">
        <x:v>2018</x:v>
      </x:c>
      <x:c r="D21" s="29" t="str">
        <x:v>Reduction of Railway System Failures through Technical Uncertainty Analysis</x:v>
      </x:c>
      <x:c r="E21" s="29" t="str">
        <x:v>GWU D.Eng. Praxis</x:v>
      </x:c>
      <x:c r="F21" s="29" t="str">
        <x:v>Technical uncertainty analysis; regression; empirical failure-data analysis</x:v>
      </x:c>
      <x:c r="G21" s="29" t="str">
        <x:v>Useful for distinguishing uncertain model knowledge from irreducible link/processing variability in sensitivity analysis.</x:v>
      </x:c>
      <x:c r="H21" s="29" t="str">
        <x:v>https://doi.org/10.13140/RG.2.2.16882.16329</x:v>
      </x:c>
      <x:c r="I21" s="30" t="str">
        <x:v>Inherited from AIS CFG010; not counted as a refereed journal/conference article; full text not rechecked in this register build.</x:v>
      </x:c>
    </x:row>
    <x:row r="22" ht="82" customHeight="1">
      <x:c r="A22" s="28" t="str">
        <x:v>020</x:v>
      </x:c>
      <x:c r="B22" s="29" t="str">
        <x:v>Santiago Lattanzio</x:v>
      </x:c>
      <x:c r="C22" s="29" t="str">
        <x:v>2021</x:v>
      </x:c>
      <x:c r="D22" s="29" t="str">
        <x:v>Holistic Planning Tool to Reduce Commercial Aircraft Fuel Consumption during Ground and Flight Operations</x:v>
      </x:c>
      <x:c r="E22" s="29" t="str">
        <x:v>GWU D.Eng. Praxis</x:v>
      </x:c>
      <x:c r="F22" s="29" t="str">
        <x:v>System-level modeling; optimization; calibration; statistical testing</x:v>
      </x:c>
      <x:c r="G22" s="29" t="str">
        <x:v>Strong template for decomposing end-to-end latency into stages, validating each stage, then recombining system behavior.</x:v>
      </x:c>
      <x:c r="H22" s="29" t="str">
        <x:v>https://doi.org/10.13140/RG.2.2.11408.48640</x:v>
      </x:c>
      <x:c r="I22" s="30" t="str">
        <x:v>Inherited from AIS CFG010; not counted as a refereed journal/conference article; full text not rechecked in this register build.</x:v>
      </x:c>
    </x:row>
    <x:row r="23" ht="82" customHeight="1">
      <x:c r="A23" s="28" t="str">
        <x:v>021</x:v>
      </x:c>
      <x:c r="B23" s="29" t="str">
        <x:v>Chibuike S. Abana</x:v>
      </x:c>
      <x:c r="C23" s="29" t="str">
        <x:v>2025</x:v>
      </x:c>
      <x:c r="D23" s="29" t="str">
        <x:v>Leveraging AutoML for Advanced Network Traffic Analysis and Intrusion Detection by Enhancing Security with a Multi-Feature IDS Dataset</x:v>
      </x:c>
      <x:c r="E23" s="29" t="str">
        <x:v>GWU D.Eng. Praxis</x:v>
      </x:c>
      <x:c r="F23" s="29" t="str">
        <x:v>AutoML comparison; data preprocessing; statistical hypothesis validation</x:v>
      </x:c>
      <x:c r="G23" s="29" t="str">
        <x:v>Useful for dataset conditioning, reproducibility, candidate-model comparison, and false-alarm/operator-burden analysis.</x:v>
      </x:c>
      <x:c r="H23" s="29" t="str">
        <x:v>https://doi.org/10.13140/RG.2.2.12374.10567</x:v>
      </x:c>
      <x:c r="I23" s="30" t="str">
        <x:v>Inherited from AIS CFG010; not counted as a refereed journal/conference article; full text not rechecked in this register build.</x:v>
      </x:c>
    </x:row>
    <x:row r="24" ht="82" customHeight="1">
      <x:c r="A24" s="28" t="str">
        <x:v>022</x:v>
      </x:c>
      <x:c r="B24" s="29" t="str">
        <x:v>Samuel Dean Connor</x:v>
      </x:c>
      <x:c r="C24" s="29" t="str">
        <x:v>2022</x:v>
      </x:c>
      <x:c r="D24" s="29" t="str">
        <x:v>A Decision Support Tool Utilizing Discrete Event Simulation to Select Advanced Manufacturing Technologies</x:v>
      </x:c>
      <x:c r="E24" s="29" t="str">
        <x:v>GWU D.Eng. Praxis</x:v>
      </x:c>
      <x:c r="F24" s="29" t="str">
        <x:v>Discrete-event simulation; technology-selection decision support</x:v>
      </x:c>
      <x:c r="G24" s="29" t="str">
        <x:v>Candidate template for comparing orbital-edge configurations before committing to a preferred architecture.</x:v>
      </x:c>
      <x:c r="H24" s="29" t="str">
        <x:v>https://scholarspace.library.gwu.edu/concern/gw_etds/2v23vv18b</x:v>
      </x:c>
      <x:c r="I24" s="30" t="str">
        <x:v>Inherited from AIS CFG010; not counted as a refereed journal/conference article; full text not rechecked in this register build.</x:v>
      </x:c>
    </x:row>
    <x:row r="25" ht="82" customHeight="1">
      <x:c r="A25" s="28" t="str">
        <x:v>023</x:v>
      </x:c>
      <x:c r="B25" s="29" t="str">
        <x:v>Noran Abraham</x:v>
      </x:c>
      <x:c r="C25" s="29" t="str">
        <x:v>2022</x:v>
      </x:c>
      <x:c r="D25" s="29" t="str">
        <x:v>Hazard Classification of Federal Aviation Administration (FAA) Unmanned Aircraft Systems (UAS) Sightings Reports using Machine Learning</x:v>
      </x:c>
      <x:c r="E25" s="29" t="str">
        <x:v>GWU D.Eng. Praxis</x:v>
      </x:c>
      <x:c r="F25" s="29" t="str">
        <x:v>Machine learning / NLP classification of operational reports</x:v>
      </x:c>
      <x:c r="G25" s="29" t="str">
        <x:v>Useful for public-data labeling, classification, human judgment, and machine-assisted triage design.</x:v>
      </x:c>
      <x:c r="H25" s="29" t="str">
        <x:v>https://scholarspace.library.gwu.edu/concern/gw_etds/js956g65h</x:v>
      </x:c>
      <x:c r="I25" s="30" t="str">
        <x:v>Inherited from AIS CFG010; not counted as a refereed journal/conference article; full text not rechecked in this register build.</x:v>
      </x:c>
    </x:row>
    <x:row r="26" ht="82" customHeight="1">
      <x:c r="A26" s="28" t="str">
        <x:v>024</x:v>
      </x:c>
      <x:c r="B26" s="29" t="str">
        <x:v>David Matthew Mahalak</x:v>
      </x:c>
      <x:c r="C26" s="29" t="str">
        <x:v>2018</x:v>
      </x:c>
      <x:c r="D26" s="29" t="str">
        <x:v>Using Multi Criteria Decision Analysis Decision Support Systems to Conduct Analysis of Alternatives for Department of Defense Acquisition Programs</x:v>
      </x:c>
      <x:c r="E26" s="29" t="str">
        <x:v>GWU D.Eng. Praxis</x:v>
      </x:c>
      <x:c r="F26" s="29" t="str">
        <x:v>Deterministic/probabilistic MCDA; Monte Carlo; sensitivity/uncertainty analysis</x:v>
      </x:c>
      <x:c r="G26" s="29" t="str">
        <x:v>Strong downstream framework for converting simulation outputs into architecture decisions under uncertainty.</x:v>
      </x:c>
      <x:c r="H26" s="29" t="str">
        <x:v>https://scholarspace.library.gwu.edu/concern/gw_etds/pn89d662c</x:v>
      </x:c>
      <x:c r="I26" s="30" t="str">
        <x:v>Inherited from AIS CFG010; not counted as a refereed journal/conference article; full text not rechecked in this register build.</x:v>
      </x:c>
    </x:row>
    <x:row r="27" ht="82" customHeight="1">
      <x:c r="A27" s="28" t="str">
        <x:v>026</x:v>
      </x:c>
      <x:c r="B27" s="29" t="str">
        <x:v>Momodou M. Jammeh</x:v>
      </x:c>
      <x:c r="C27" s="29" t="str">
        <x:v>2026</x:v>
      </x:c>
      <x:c r="D27" s="29" t="str">
        <x:v>Optimization of Smart Electric Vehicle Charging Using IoT and Hybrid Simulation for Enhanced Operations and Maintenance</x:v>
      </x:c>
      <x:c r="E27" s="29" t="str">
        <x:v>GWU D.Eng. Praxis</x:v>
      </x:c>
      <x:c r="F27" s="29" t="str">
        <x:v>Hybrid simulation; IoT telemetry; optimization / reliability modeling</x:v>
      </x:c>
      <x:c r="G27" s="29" t="str">
        <x:v>Useful precedent for combining observed communications/compute data with complementary simulation methods.</x:v>
      </x:c>
      <x:c r="H27" s="29" t="str">
        <x:v>https://scholarspace.library.gwu.edu/concern/gw_etds/jd472x57t</x:v>
      </x:c>
      <x:c r="I27" s="30" t="str">
        <x:v>Inherited from AIS CFG010; not counted as a refereed journal/conference article; full text not rechecked in this register build.</x:v>
      </x:c>
    </x:row>
    <x:row r="28" ht="82" customHeight="1">
      <x:c r="A28" s="28" t="str">
        <x:v>027</x:v>
      </x:c>
      <x:c r="B28" s="29" t="str">
        <x:v>Onyinyechukwu A. Nweze</x:v>
      </x:c>
      <x:c r="C28" s="29" t="str">
        <x:v>2025</x:v>
      </x:c>
      <x:c r="D28" s="29" t="str">
        <x:v>Utilizing Deep Learning Models to Detect Jamming and Spoofing Attacks on Unmanned Aerial Vehicles</x:v>
      </x:c>
      <x:c r="E28" s="29" t="str">
        <x:v>GWU D.Eng. Praxis</x:v>
      </x:c>
      <x:c r="F28" s="29" t="str">
        <x:v>Deep-learning model comparison; multi-source sensor/log classification</x:v>
      </x:c>
      <x:c r="G28" s="29" t="str">
        <x:v>Useful for constructing labeled degraded-communications states and evaluating bounded onboard classification.</x:v>
      </x:c>
      <x:c r="H28" s="29" t="str">
        <x:v>https://scholarspace.library.gwu.edu/concern/gw_etds/sn009z73z</x:v>
      </x:c>
      <x:c r="I28" s="30" t="str">
        <x:v>Inherited from AIS CFG010; not counted as a refereed journal/conference article; full text not rechecked in this register build.</x:v>
      </x:c>
    </x:row>
    <x:row r="29" ht="82" customHeight="1">
      <x:c r="A29" s="28" t="str">
        <x:v>029</x:v>
      </x:c>
      <x:c r="B29" s="29" t="str">
        <x:v>Paul A. Newell Jr.</x:v>
      </x:c>
      <x:c r="C29" s="29" t="str">
        <x:v>2023</x:v>
      </x:c>
      <x:c r="D29" s="29" t="str">
        <x:v>Reducing System Lifetime Spare Part Quantities Using Obsolescence Cycles: A Discrete Event Simulation</x:v>
      </x:c>
      <x:c r="E29" s="29" t="str">
        <x:v>GWU D.Eng. Praxis</x:v>
      </x:c>
      <x:c r="F29" s="29" t="str">
        <x:v>Discrete-event simulation; reliability / repair / inventory / availability modeling</x:v>
      </x:c>
      <x:c r="G29" s="29" t="str">
        <x:v>High-value template for availability experiments comparing distributed compute redundancy and degraded ground/space processing.</x:v>
      </x:c>
      <x:c r="H29" s="29" t="str">
        <x:v>https://search.proquest.com/openview/88a43e1ad35e4f012b3bb98fb476f41b/1?cbl=18750&amp;diss=y&amp;pq-origsite=gscholar</x:v>
      </x:c>
      <x:c r="I29" s="30" t="str">
        <x:v>Inherited from AIS CFG010; not counted as a refereed journal/conference article; full text not rechecked in this register build.</x:v>
      </x:c>
    </x:row>
    <x:row r="30" ht="82" customHeight="1">
      <x:c r="A30" s="28" t="str">
        <x:v>034</x:v>
      </x:c>
      <x:c r="B30" s="29" t="str">
        <x:v>Kishan Ram Devineni</x:v>
      </x:c>
      <x:c r="C30" s="29" t="str">
        <x:v>2023</x:v>
      </x:c>
      <x:c r="D30" s="29" t="str">
        <x:v>Improving IT Service Incident Ticket Resolution Times using Lean and Agile Methodologies</x:v>
      </x:c>
      <x:c r="E30" s="29" t="str">
        <x:v>GWU D.Eng. Praxis</x:v>
      </x:c>
      <x:c r="F30" s="29" t="str">
        <x:v>Arena discrete-event simulation; Monte Carlo; process redesign</x:v>
      </x:c>
      <x:c r="G30" s="29" t="str">
        <x:v>Useful for causal decomposition of end-to-end latency into queues, processing resources, and human workflow effects.</x:v>
      </x:c>
      <x:c r="H30" s="29" t="str">
        <x:v>https://scholarspace.library.gwu.edu/concern/gw_etds/2j62s577p</x:v>
      </x:c>
      <x:c r="I30" s="30" t="str">
        <x:v>Inherited from AIS CFG010; not counted as a refereed journal/conference article; full text not rechecked in this register build.</x:v>
      </x:c>
    </x:row>
    <x:row r="31" ht="82" customHeight="1">
      <x:c r="A31" s="28" t="str">
        <x:v>035</x:v>
      </x:c>
      <x:c r="B31" s="29" t="str">
        <x:v>Z. I. Jenkins</x:v>
      </x:c>
      <x:c r="C31" s="29" t="str">
        <x:v>2021</x:v>
      </x:c>
      <x:c r="D31" s="29" t="str">
        <x:v>A Project-Oriented Model-Based Systems Engineering (MBSE) Approach for Naval Decision Support</x:v>
      </x:c>
      <x:c r="E31" s="29" t="str">
        <x:v>GWU D.Eng. Praxis</x:v>
      </x:c>
      <x:c r="F31" s="29" t="str">
        <x:v>MBSE tailoring / decision-support methodology</x:v>
      </x:c>
      <x:c r="G31" s="29" t="str">
        <x:v>Useful for defending model scope/fidelity and avoiding an unnecessarily complete model of the entire space architecture.</x:v>
      </x:c>
      <x:c r="H31" s="29" t="str">
        <x:v>https://scholarspace.library.gwu.edu/concern/gw_etds/m900nv184</x:v>
      </x:c>
      <x:c r="I31" s="30" t="str">
        <x:v>Inherited from AIS CFG010; not counted as a refereed journal/conference article; full text not rechecked in this register build.</x:v>
      </x:c>
    </x:row>
    <x:row r="32" ht="82" customHeight="1">
      <x:c r="A32" s="28" t="str">
        <x:v>039</x:v>
      </x:c>
      <x:c r="B32" s="29" t="str">
        <x:v>Matthew A. Grofsky</x:v>
      </x:c>
      <x:c r="C32" s="29" t="str">
        <x:v>2025</x:v>
      </x:c>
      <x:c r="D32" s="29" t="str">
        <x:v>AegisShield: Democratizing Cyber Threat Modeling with Generative AI</x:v>
      </x:c>
      <x:c r="E32" s="29" t="str">
        <x:v>GWU D.Eng. Praxis</x:v>
      </x:c>
      <x:c r="F32" s="29" t="str">
        <x:v>Generative-AI decision support; structured threat modeling; quantitative evaluation</x:v>
      </x:c>
      <x:c r="G32" s="29" t="str">
        <x:v>Useful for human-machine teaming, traceability, reference grounding, and credible AI-assisted recommendations.</x:v>
      </x:c>
      <x:c r="H32" s="29" t="str">
        <x:v>https://doi.org/10.5281/zenodo.16888309</x:v>
      </x:c>
      <x:c r="I32" s="30" t="str">
        <x:v>Inherited from AIS CFG010; not counted as a refereed journal/conference article; full text not rechecked in this register build.</x:v>
      </x:c>
    </x:row>
  </x:sheetData>
  <x:pageMargins left="0.7" right="0.7" top="0.75" bottom="0.75" header="0.3" footer="0.3"/>
  <x:tableParts count="1">
    <x:tablePart xmlns:r="http://schemas.openxmlformats.org/officeDocument/2006/relationships" r:id="Re374abb36f1d48b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58" hidden="0" customWidth="1"/>
    <x:col min="4" max="4" width="92" hidden="0" customWidth="1"/>
    <x:col min="5" max="5" width="82" hidden="0" customWidth="1"/>
    <x:col min="6" max="6" width="75" hidden="0" customWidth="1"/>
  </x:cols>
  <x:sheetData>
    <x:row r="1" ht="32" customHeight="1">
      <x:c r="A1" s="22" t="str">
        <x:v>Record</x:v>
      </x:c>
      <x:c r="B1" s="23" t="str">
        <x:v>Check date</x:v>
      </x:c>
      <x:c r="C1" s="23" t="str">
        <x:v>Object checked</x:v>
      </x:c>
      <x:c r="D1" s="23" t="str">
        <x:v>Evidence / hash / numeric record</x:v>
      </x:c>
      <x:c r="E1" s="23" t="str">
        <x:v>Location / source</x:v>
      </x:c>
      <x:c r="F1" s="24" t="str">
        <x:v>Limit</x:v>
      </x:c>
    </x:row>
    <x:row r="2" ht="63" customHeight="1">
      <x:c r="A2" s="28" t="str">
        <x:v>CFG-1</x:v>
      </x:c>
      <x:c r="B2" s="29" t="str">
        <x:v>2026-09-28</x:v>
      </x:c>
      <x:c r="C2" s="29" t="str">
        <x:v>GWU_Praxis_AIS_Master_Register_2026-09-28_v10_Karlstad_Response__AIS-Master__CFG010.xlsx</x:v>
      </x:c>
      <x:c r="D2" s="29" t="str">
        <x:v>SHA-256: a212f5ddbc534f9274b23e708b7b0b66430c46f0c30cf231979879a16f3981d3</x:v>
      </x:c>
      <x:c r="E2" s="29" t="str">
        <x:v>https://docs.google.com/spreadsheets/d/1zsrpLKhRJMcKAPprz_AUQrLQpSNaR_3D/edit</x:v>
      </x:c>
      <x:c r="F2" s="30" t="str">
        <x:v>Input preserved; no write made.</x:v>
      </x:c>
    </x:row>
    <x:row r="3" ht="63" customHeight="1">
      <x:c r="A3" s="28" t="str">
        <x:v>CFG-2</x:v>
      </x:c>
      <x:c r="B3" s="29" t="str">
        <x:v>2026-09-28</x:v>
      </x:c>
      <x:c r="C3" s="29" t="str">
        <x:v>International_Domestic_Research_Data_Register_2026-09-28_v19_Karlstad_Response__Research-Data__CFG019.xlsx</x:v>
      </x:c>
      <x:c r="D3" s="29" t="str">
        <x:v>SHA-256: cf51bf7ede6434279a08c50ba38f449c323d8e2cfdafc0a61f6dbc635bc9539e</x:v>
      </x:c>
      <x:c r="E3" s="29" t="str">
        <x:v>https://docs.google.com/spreadsheets/d/1VOXVDT4NSq-zQqfFRQi7Xylu3qwkOlCt/edit</x:v>
      </x:c>
      <x:c r="F3" s="30" t="str">
        <x:v>Input preserved; no write made.</x:v>
      </x:c>
    </x:row>
    <x:row r="4" ht="63" customHeight="1">
      <x:c r="A4" s="28" t="str">
        <x:v>CFG-3</x:v>
      </x:c>
      <x:c r="B4" s="29" t="str">
        <x:v>2026-09-28</x:v>
      </x:c>
      <x:c r="C4" s="29" t="str">
        <x:v>Carlo Work v9  Simultaneous OPS-SAT ACE 2026-09-23 v02.xlsx</x:v>
      </x:c>
      <x:c r="D4" s="29" t="str">
        <x:v>SHA-256: 2bfb86753ed21949c3f13b08351e778247d215d3a0abe2981b2925587790857d</x:v>
      </x:c>
      <x:c r="E4" s="29" t="str">
        <x:v>Attached conversation workbook (read-only snapshot)</x:v>
      </x:c>
      <x:c r="F4" s="30" t="str">
        <x:v>Input preserved; no write made.</x:v>
      </x:c>
    </x:row>
    <x:row r="5" ht="63" customHeight="1">
      <x:c r="A5" s="28" t="str">
        <x:v>CFG-4</x:v>
      </x:c>
      <x:c r="B5" s="29" t="str">
        <x:v>2026-09-28</x:v>
      </x:c>
      <x:c r="C5" s="29" t="str">
        <x:v>OPS_SAT_Simultaneous_ACE_v02_COMM_Decoded_Reproducibility.zip</x:v>
      </x:c>
      <x:c r="D5" s="29" t="str">
        <x:v>SHA-256: 94248d45782f9e0e46153dbc24c0f358f20f65c94ea1da8cb9bf23b2cec9c8da</x:v>
      </x:c>
      <x:c r="E5" s="29" t="str">
        <x:v>Existing conversation reproducibility archive (read-only)</x:v>
      </x:c>
      <x:c r="F5" s="30" t="str">
        <x:v>Input preserved; no write made.</x:v>
      </x:c>
    </x:row>
    <x:row r="6" ht="63" customHeight="1">
      <x:c r="A6" s="28" t="str">
        <x:v>RAW</x:v>
      </x:c>
      <x:c r="B6" s="29" t="str">
        <x:v>2026-09-28</x:v>
      </x:c>
      <x:c r="C6" s="29" t="str">
        <x:v>raw/dataset.csv</x:v>
      </x:c>
      <x:c r="D6" s="29" t="str">
        <x:v>SHA-256: b524177da6f516d5c9f63c7acbc385341f0ad42046ef20c1bed2d25e51b98f02</x:v>
      </x:c>
      <x:c r="E6" s="29" t="str">
        <x:v>OPS_SAT_Simultaneous_ACE_v02_COMM_Decoded_Reproducibility.zip</x:v>
      </x:c>
      <x:c r="F6" s="30" t="str">
        <x:v>Hashed existing archive member; no new remote acquisition.</x:v>
      </x:c>
    </x:row>
    <x:row r="7" ht="63" customHeight="1">
      <x:c r="A7" s="28" t="str">
        <x:v>RAW</x:v>
      </x:c>
      <x:c r="B7" s="29" t="str">
        <x:v>2026-09-28</x:v>
      </x:c>
      <x:c r="C7" s="29" t="str">
        <x:v>raw/segments.csv</x:v>
      </x:c>
      <x:c r="D7" s="29" t="str">
        <x:v>SHA-256: d5201e9e751eb2a53a0ff7c11567dc4239f594ea4b479b2aa66fe67ddcbcb9ba</x:v>
      </x:c>
      <x:c r="E7" s="29" t="str">
        <x:v>OPS_SAT_Simultaneous_ACE_v02_COMM_Decoded_Reproducibility.zip</x:v>
      </x:c>
      <x:c r="F7" s="30" t="str">
        <x:v>Hashed existing archive member; no new remote acquisition.</x:v>
      </x:c>
    </x:row>
    <x:row r="8" ht="63" customHeight="1">
      <x:c r="A8" s="28" t="str">
        <x:v>RAW</x:v>
      </x:c>
      <x:c r="B8" s="29" t="str">
        <x:v>2026-09-28</x:v>
      </x:c>
      <x:c r="C8" s="29" t="str">
        <x:v>raw/omni_min_hOnlv3ZjMa 2.txt</x:v>
      </x:c>
      <x:c r="D8" s="29" t="str">
        <x:v>SHA-256: d2e3a5be3876fbb94e8de0f15e5726f21de4b424f3249b10cc7a30e658a8aabd</x:v>
      </x:c>
      <x:c r="E8" s="29" t="str">
        <x:v>OPS_SAT_Simultaneous_ACE_v02_COMM_Decoded_Reproducibility.zip</x:v>
      </x:c>
      <x:c r="F8" s="30" t="str">
        <x:v>Hashed existing archive member; no new remote acquisition.</x:v>
      </x:c>
    </x:row>
    <x:row r="9" ht="63" customHeight="1">
      <x:c r="A9" s="28" t="str">
        <x:v>RAW</x:v>
      </x:c>
      <x:c r="B9" s="29" t="str">
        <x:v>2026-09-28</x:v>
      </x:c>
      <x:c r="C9" s="29" t="str">
        <x:v>raw/OPS-SAT_2022-01-26_to_2022-01-29_COMPLETE.json</x:v>
      </x:c>
      <x:c r="D9" s="29" t="str">
        <x:v>SHA-256: 7451f659bb863938199724708670b44af95acbfded3eb393aa5073264f41cca0</x:v>
      </x:c>
      <x:c r="E9" s="29" t="str">
        <x:v>OPS_SAT_Simultaneous_ACE_v02_COMM_Decoded_Reproducibility.zip</x:v>
      </x:c>
      <x:c r="F9" s="30" t="str">
        <x:v>Hashed existing archive member; no new remote acquisition.</x:v>
      </x:c>
    </x:row>
    <x:row r="10" ht="63" customHeight="1">
      <x:c r="A10" s="28" t="str">
        <x:v>RAW</x:v>
      </x:c>
      <x:c r="B10" s="29" t="str">
        <x:v>2026-09-28</x:v>
      </x:c>
      <x:c r="C10" s="29" t="str">
        <x:v>raw/omni_min_hOnlv3ZjMa.fmt.txt</x:v>
      </x:c>
      <x:c r="D10" s="29" t="str">
        <x:v>SHA-256: ed6976f083a6d599c17fc6f4fc3474ffa8fc2a30d6344b096d81806bca3df2f3</x:v>
      </x:c>
      <x:c r="E10" s="29" t="str">
        <x:v>OPS_SAT_Simultaneous_ACE_v02_COMM_Decoded_Reproducibility.zip</x:v>
      </x:c>
      <x:c r="F10" s="30" t="str">
        <x:v>Hashed existing archive member; no new remote acquisition.</x:v>
      </x:c>
    </x:row>
    <x:row r="11" ht="63" customHeight="1">
      <x:c r="A11" s="28" t="str">
        <x:v>D001/D002</x:v>
      </x:c>
      <x:c r="B11" s="29" t="str">
        <x:v>2026-09-28</x:v>
      </x:c>
      <x:c r="C11" s="29" t="str">
        <x:v>Existing accepted observation CSV</x:v>
      </x:c>
      <x:c r="D11" s="29" t="str">
        <x:v>100 accepted events; A UTC 17:42:51–17:54:18; max prior COMM age 9 seconds.</x:v>
      </x:c>
      <x:c r="E11" s="29" t="str">
        <x:v>Archive: OPS_SAT_Simultaneous_ACE_v02_100_Observations.csv</x:v>
      </x:c>
      <x:c r="F11" s="30" t="str">
        <x:v>Cohort inspection, not new model validation; frozen study interval remains 17:42:49–17:54:19.</x:v>
      </x:c>
    </x:row>
    <x:row r="12" ht="63" customHeight="1">
      <x:c r="A12" s="28" t="str">
        <x:v>D003</x:v>
      </x:c>
      <x:c r="B12" s="29" t="str">
        <x:v>2026-09-28</x:v>
      </x:c>
      <x:c r="C12" s="29" t="str">
        <x:v>OMNI target bins</x:v>
      </x:c>
      <x:c r="D12" s="29" t="str">
        <x:v>13 bins: 17:42–17:54; percent-interpolation values include 0, 20 and 100.</x:v>
      </x:c>
      <x:c r="E12" s="29" t="str">
        <x:v>Archive: raw/omni_min_hOnlv3ZjMa 2.txt + .fmt.txt</x:v>
      </x:c>
      <x:c r="F12" s="30" t="str">
        <x:v>All field meanings checked against the archived format file; derived/interpolated content must retain provenance.</x:v>
      </x:c>
    </x:row>
    <x:row r="13" ht="63" customHeight="1">
      <x:c r="A13" s="28" t="str">
        <x:v>D004</x:v>
      </x:c>
      <x:c r="B13" s="29" t="str">
        <x:v>2026-09-28</x:v>
      </x:c>
      <x:c r="C13" s="29" t="str">
        <x:v>GFZ definitive numeric file; Jan 28 row</x:v>
      </x:c>
      <x:c r="D13" s="29" t="str">
        <x:v>22 1282570241317171310 71737130  5  6  6  5  4  3  6 22  70.42</x:v>
      </x:c>
      <x:c r="E13" s="29" t="str">
        <x:v>https://datapub.gfz.de/download/10.5880.Kp.0001/Kp_definitive/Kp_def2022.wdc</x:v>
      </x:c>
      <x:c r="F13" s="30" t="str">
        <x:v>Raw WDC record preserved; 3-hour temporal containment only. Decode with source specification before quantitative use.</x:v>
      </x:c>
    </x:row>
    <x:row r="14" ht="63" customHeight="1">
      <x:c r="A14" s="28" t="str">
        <x:v>D005</x:v>
      </x:c>
      <x:c r="B14" s="29" t="str">
        <x:v>2026-09-28</x:v>
      </x:c>
      <x:c r="C14" s="29" t="str">
        <x:v>Kyoto provisional Dst Jan 28 hourly row</x:v>
      </x:c>
      <x:c r="D14" s="29" t="str">
        <x:v>-6 -10 -11 -13 -14 -13 -14 -18 -21 -21 -17 -16 -9 -9 -12 -12 -8 -4 -4 -3 0 0 -7 -11</x:v>
      </x:c>
      <x:c r="E14" s="29" t="str">
        <x:v>https://wdc.kugi.kyoto-u.ac.jp/dst_provisional/202201/index.html</x:v>
      </x:c>
      <x:c r="F14" s="30" t="str">
        <x:v>24 hourly values as displayed; provisional. Hour-label/bin convention still to record before join.</x:v>
      </x:c>
    </x:row>
    <x:row r="15" ht="63" customHeight="1">
      <x:c r="A15" s="28" t="str">
        <x:v>D006</x:v>
      </x:c>
      <x:c r="B15" s="29" t="str">
        <x:v>2026-09-28</x:v>
      </x:c>
      <x:c r="C15" s="29" t="str">
        <x:v>NOAA January 2022 directory</x:v>
      </x:c>
      <x:c r="D15" s="29" t="str">
        <x:v>Exact filename: sci_xrsf-l2-avg1m_g16_d20220128_v2-2-1.nc</x:v>
      </x:c>
      <x:c r="E15" s="29" t="str">
        <x:v>https://data.ngdc.noaa.gov/platforms/solar-space-observing-satellites/goes/goes16/l2/data/xrsf-l2-avg1m_science/2022/01/</x:v>
      </x:c>
      <x:c r="F15" s="30" t="str">
        <x:v>Directory/file presence only; binary not read. Not PASS.</x:v>
      </x:c>
    </x:row>
    <x:row r="16" ht="63" customHeight="1">
      <x:c r="A16" s="28" t="str">
        <x:v>D007</x:v>
      </x:c>
      <x:c r="B16" s="29" t="str">
        <x:v>2026-09-28</x:v>
      </x:c>
      <x:c r="C16" s="29" t="str">
        <x:v>NOAA 2022 EUVS directory</x:v>
      </x:c>
      <x:c r="D16" s="29" t="str">
        <x:v>Exact filename: sci_euvs-l2-avg1m_g16_y2022_v1-0-7.nc</x:v>
      </x:c>
      <x:c r="E16" s="29" t="str">
        <x:v>https://data.ngdc.noaa.gov/platforms/solar-space-observing-satellites/goes/goes16/l2/data/euvs-l2-avg1m_science/2022/</x:v>
      </x:c>
      <x:c r="F16" s="30" t="str">
        <x:v>Year-level filename presence only; not evidence of valid January 28 bins.</x:v>
      </x:c>
    </x:row>
    <x:row r="17" ht="63" customHeight="1">
      <x:c r="A17" s="28" t="str">
        <x:v>L039</x:v>
      </x:c>
      <x:c r="B17" s="29" t="str">
        <x:v>2026-09-28</x:v>
      </x:c>
      <x:c r="C17" s="29" t="str">
        <x:v>Published OPSSAT-AD benchmark paper</x:v>
      </x:c>
      <x:c r="D17" s="29" t="str">
        <x:v>Scientific Data 12, article 710; published 29 April 2025; DOI 10.1038/s41597-025-05035-3</x:v>
      </x:c>
      <x:c r="E17" s="29" t="str">
        <x:v>https://www.nature.com/articles/s41597-025-05035-3</x:v>
      </x:c>
      <x:c r="F17" s="30" t="str">
        <x:v>Use published paper instead of counting the 2024 preprint as an additional paper.</x:v>
      </x:c>
    </x:row>
    <x:row r="18" ht="63" customHeight="1">
      <x:c r="A18" s="28" t="str">
        <x:v>L044</x:v>
      </x:c>
      <x:c r="B18" s="29" t="str">
        <x:v>2026-09-28</x:v>
      </x:c>
      <x:c r="C18" s="29" t="str">
        <x:v>CloudSatNet-1 institutional citation</x:v>
      </x:c>
      <x:c r="D18" s="29" t="str">
        <x:v>Five authors verified: Pitoňák, Mucha, Dobiš, Javorka, Marušin</x:v>
      </x:c>
      <x:c r="E18" s="29" t="str">
        <x:v>https://dspace.vut.cz/items/ad2a3de1-f4c6-4f34-9055-8782169e1db6</x:v>
      </x:c>
      <x:c r="F18" s="30" t="str">
        <x:v>Repository indexed citation accessible; direct page later returned a retrieval error. DOI identity remains verified.</x:v>
      </x:c>
    </x:row>
    <x:row r="19" ht="63" customHeight="1">
      <x:c r="A19" s="28" t="str">
        <x:v>L049</x:v>
      </x:c>
      <x:c r="B19" s="29" t="str">
        <x:v>2026-09-28</x:v>
      </x:c>
      <x:c r="C19" s="29" t="str">
        <x:v>TUM final proceedings citation</x:v>
      </x:c>
      <x:c r="D19" s="29" t="str">
        <x:v>Final order: Mohan; Ferguson; Cech; Bose; Renatin; Marina; Ott. Pages 2723–2734.</x:v>
      </x:c>
      <x:c r="E19" s="29" t="str">
        <x:v>https://portal.fis.tum.de/en/publications/a-multifaceted-look-at-starlink-performance/</x:v>
      </x:c>
      <x:c r="F19" s="30" t="str">
        <x:v>Final-author order differs from arXiv; do not count arXiv as another publication.</x:v>
      </x:c>
    </x:row>
    <x:row r="20" ht="63" customHeight="1">
      <x:c r="A20" s="28" t="str">
        <x:v>L005</x:v>
      </x:c>
      <x:c r="B20" s="29" t="str">
        <x:v>2026-09-28</x:v>
      </x:c>
      <x:c r="C20" s="29" t="str">
        <x:v>ACM IMC publisher citation</x:v>
      </x:c>
      <x:c r="D20" s="29" t="str">
        <x:v>IMC 2022, pages 130–136, DOI 10.1145/3517745.3561416</x:v>
      </x:c>
      <x:c r="E20" s="29" t="str">
        <x:v>https://doi.org/10.1145/3517745.3561416</x:v>
      </x:c>
      <x:c r="F20" s="30" t="str">
        <x:v>Publisher metadata completed.</x:v>
      </x:c>
    </x:row>
    <x:row r="21">
      <x:c r="A21" t="str">
        <x:v>C23-2026-10-26</x:v>
      </x:c>
      <x:c r="B21" t="str">
        <x:v>2026-10-26</x:v>
      </x:c>
      <x:c r="C21" t="str">
        <x:v>Nino_Chapter2_Section2-3_Proposed_Expansion_2026-10-24.docx</x:v>
      </x:c>
      <x:c r="D21" t="str">
        <x:v>40cc8d52dc9dc8e5dd58a1bb1afec1caee17a83025c7f66a76d5942e150e20d5</x:v>
      </x:c>
      <x:c r="E21" t="str">
        <x:v>Conversation artifact; identical REDOWNLOAD copy</x:v>
      </x:c>
      <x:c r="F21" t="str">
        <x:v>20 References entries; 32 in-text occurrences; page mapping refers to separate expansion.</x:v>
      </x:c>
    </x:row>
  </x:sheetData>
  <x:pageMargins left="0.7" right="0.7" top="0.75" bottom="0.75" header="0.3" footer="0.3"/>
  <x:tableParts count="1">
    <x:tablePart xmlns:r="http://schemas.openxmlformats.org/officeDocument/2006/relationships" r:id="R48c6bc32e36b489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105" hidden="0" customWidth="1"/>
    <x:col min="4" max="4" width="58" hidden="0" customWidth="1"/>
    <x:col min="5" max="5" width="87" hidden="0" customWidth="1"/>
  </x:cols>
  <x:sheetData>
    <x:row r="1" ht="32" customHeight="1">
      <x:c r="A1" s="22" t="str">
        <x:v>Version</x:v>
      </x:c>
      <x:c r="B1" s="23" t="str">
        <x:v>Date</x:v>
      </x:c>
      <x:c r="C1" s="23" t="str">
        <x:v>Change</x:v>
      </x:c>
      <x:c r="D1" s="23" t="str">
        <x:v>Inputs preserved</x:v>
      </x:c>
      <x:c r="E1" s="24" t="str">
        <x:v>Acceptance boundary</x:v>
      </x:c>
    </x:row>
    <x:row r="2" ht="76" customHeight="1">
      <x:c r="A2" s="28" t="str">
        <x:v>v01 / CFG001</x:v>
      </x:c>
      <x:c r="B2" s="29" t="str">
        <x:v>2026-09-28</x:v>
      </x:c>
      <x:c r="C2" s="29" t="str">
        <x:v>Created third register; 60 unique DOI-based literature candidates; 21 data/source routes; section allocation; editor metadata; 31 legacy GWU exemplars.</x:v>
      </x:c>
      <x:c r="D2" s="29" t="str">
        <x:v>AIS CFG010; Research Data CFG019; ACE v02</x:v>
      </x:c>
      <x:c r="E2" s="30" t="str">
        <x:v>New research pool only; no old register, raw dataset, model parameter or claimed result changed.</x:v>
      </x:c>
    </x:row>
    <x:row r="3" ht="76" customHeight="1">
      <x:c r="A3" s="28" t="str">
        <x:v>v01 / CFG001</x:v>
      </x:c>
      <x:c r="B3" s="29" t="str">
        <x:v>2026-09-28</x:v>
      </x:c>
      <x:c r="C3" s="29" t="str">
        <x:v>Verified inherited ACE time associations and OMNI bins from existing reproducibility archive.</x:v>
      </x:c>
      <x:c r="D3" s="29" t="str">
        <x:v>Original source hashes recorded</x:v>
      </x:c>
      <x:c r="E3" s="30" t="str">
        <x:v>Temporal read-only inspection, not a new simulation.</x:v>
      </x:c>
    </x:row>
    <x:row r="4" ht="76" customHeight="1">
      <x:c r="A4" s="28" t="str">
        <x:v>v01 / CFG001</x:v>
      </x:c>
      <x:c r="B4" s="29" t="str">
        <x:v>2026-09-28</x:v>
      </x:c>
      <x:c r="C4" s="29" t="str">
        <x:v>Added GFZ Kp / Kyoto Dst coarse context and two dated GOES file locators.</x:v>
      </x:c>
      <x:c r="D4" s="29" t="str">
        <x:v>Existing environmental inputs unchanged</x:v>
      </x:c>
      <x:c r="E4" s="30" t="str">
        <x:v>Only coarse context passes; GOES remains pending until numeric QC checks.</x:v>
      </x:c>
    </x:row>
    <x:row r="5" ht="76" customHeight="1">
      <x:c r="A5" s="28" t="str">
        <x:v>v01 / CFG001</x:v>
      </x:c>
      <x:c r="B5" s="29" t="str">
        <x:v>2026-09-28</x:v>
      </x:c>
      <x:c r="C5" s="29" t="str">
        <x:v>Promoted OPSSAT-AD supporting citation to 2025 Scientific Data publication in THIS register.</x:v>
      </x:c>
      <x:c r="D5" s="29" t="str">
        <x:v>Older reference records untouched</x:v>
      </x:c>
      <x:c r="E5" s="30" t="str">
        <x:v>Dataset and paper linked; preprint not double-counted.</x:v>
      </x:c>
    </x:row>
    <x:row r="6">
      <x:c r="A6" t="str">
        <x:v>v02 / CFG002</x:v>
      </x:c>
      <x:c r="B6" t="str">
        <x:v>2026-10-26</x:v>
      </x:c>
      <x:c r="C6" t="str">
        <x:v>Reconciled all 20 §2.3 references: appended 13 scholarly candidates and 3 agency authorities; retained 4 existing IDs; added in-text page/count crosswalk and audit.</x:v>
      </x:c>
      <x:c r="D6" t="str">
        <x:v>All predecessor records and IDs; existing Adoption values; raw-data readiness; manuscript and DES unchanged.</x:v>
      </x:c>
      <x:c r="E6" t="str">
        <x:v>Use in proposed prose is recorded independently from Carlo's reading, adoption and advisor acceptance. Publisher/full-text verification not repeated.</x:v>
      </x:c>
    </x:row>
  </x:sheetData>
  <x:pageMargins left="0.7" right="0.7" top="0.75" bottom="0.75" header="0.3" footer="0.3"/>
  <x:tableParts count="1">
    <x:tablePart xmlns:r="http://schemas.openxmlformats.org/officeDocument/2006/relationships" r:id="R4a24b534a6784368"/>
  </x:tableParts>
</x:worksheet>
</file>

<file path=xl/worksheets/sheet10.xml><?xml version="1.0" encoding="utf-8"?>
<x:worksheet xmlns:x="http://schemas.openxmlformats.org/spreadsheetml/2006/main">
  <x:sheetViews>
    <x:sheetView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6" hidden="0" customWidth="1"/>
    <x:col min="4" max="4" width="38" hidden="0" customWidth="1"/>
    <x:col min="5" max="5" width="13" hidden="0" customWidth="1"/>
    <x:col min="6" max="6" width="12" hidden="0" customWidth="1"/>
    <x:col min="7" max="7" width="24" hidden="0" customWidth="1"/>
    <x:col min="8" max="8" width="30" hidden="0" customWidth="1"/>
    <x:col min="9" max="9" width="28" hidden="0" customWidth="1"/>
    <x:col min="10" max="10" width="34" hidden="0" customWidth="1"/>
    <x:col min="11" max="11" width="44" hidden="0" customWidth="1"/>
    <x:col min="12" max="12" width="74" hidden="0" customWidth="1"/>
    <x:col min="13" max="13" width="55" hidden="0" customWidth="1"/>
    <x:col min="14" max="14" width="45" hidden="0" customWidth="1"/>
  </x:cols>
  <x:sheetData>
    <x:row r="1" ht="32" customHeight="1">
      <x:c r="A1" s="38" t="str">
        <x:v>CHAPTER 2 / §2.3 — CITATION RECONCILIATION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28" customHeight="1">
      <x:c r="A2" s="40" t="str">
        <x:v>2026-10-26 • v02 / CFG002 • Full references and manuscript use; independent reading/approval tracked separately.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</x:row>
    <x:row r="4" ht="32" customHeight="1">
      <x:c r="A4" s="42" t="str">
        <x:v>References mapped</x:v>
      </x:c>
      <x:c r="B4" s="42" t="str">
        <x:v>New to ACE</x:v>
      </x:c>
      <x:c r="C4" s="42" t="str">
        <x:v>Existing ACE IDs</x:v>
      </x:c>
      <x:c r="D4" s="42" t="str">
        <x:v>In-text occurrences</x:v>
      </x:c>
      <x:c r="E4" s="36"/>
      <x:c r="F4" s="36"/>
      <x:c r="G4" s="36"/>
      <x:c r="H4" s="36"/>
      <x:c r="I4" s="36"/>
      <x:c r="J4" s="36"/>
      <x:c r="K4" s="36"/>
      <x:c r="L4" s="36"/>
      <x:c r="M4" s="36"/>
      <x:c r="N4" s="36"/>
    </x:row>
    <x:row r="5" ht="34" customHeight="1">
      <x:c r="A5" s="45" t="n">
        <x:f>COUNTA(A8:A27)</x:f>
        <x:v>20</x:v>
      </x:c>
      <x:c r="B5" s="45" t="n">
        <x:f>COUNTIF(G8:G27,"Added 2026-10-26")</x:f>
        <x:v>16</x:v>
      </x:c>
      <x:c r="C5" s="45" t="n">
        <x:f>COUNTIF(G8:G27,"Existing ACE record")</x:f>
        <x:v>4</x:v>
      </x:c>
      <x:c r="D5" s="45" t="n">
        <x:f>SUM(F8:F27)</x:f>
        <x:v>32</x:v>
      </x:c>
      <x:c r="E5" s="36"/>
      <x:c r="F5" s="36"/>
      <x:c r="G5" s="36"/>
      <x:c r="H5" s="36"/>
      <x:c r="I5" s="36"/>
      <x:c r="J5" s="36"/>
      <x:c r="K5" s="36"/>
      <x:c r="L5" s="36"/>
      <x:c r="M5" s="36"/>
      <x:c r="N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6"/>
    </x:row>
    <x:row r="7" ht="32" customHeight="1">
      <x:c r="A7" s="42" t="str">
        <x:v>ACE ID</x:v>
      </x:c>
      <x:c r="B7" s="42" t="str">
        <x:v>In-text citation</x:v>
      </x:c>
      <x:c r="C7" s="42" t="str">
        <x:v>Source type</x:v>
      </x:c>
      <x:c r="D7" s="42" t="str">
        <x:v>Role in §2.3</x:v>
      </x:c>
      <x:c r="E7" s="42" t="str">
        <x:v>Body pages</x:v>
      </x:c>
      <x:c r="F7" s="42" t="str">
        <x:v>Inline uses</x:v>
      </x:c>
      <x:c r="G7" s="42" t="str">
        <x:v>Register change</x:v>
      </x:c>
      <x:c r="H7" s="42" t="str">
        <x:v>Manuscript use</x:v>
      </x:c>
      <x:c r="I7" s="42" t="str">
        <x:v>Carlo review</x:v>
      </x:c>
      <x:c r="J7" s="42" t="str">
        <x:v>DOI / locator</x:v>
      </x:c>
      <x:c r="K7" s="42" t="str">
        <x:v>Source URL</x:v>
      </x:c>
      <x:c r="L7" s="42" t="str">
        <x:v>Full reference as supplied</x:v>
      </x:c>
      <x:c r="M7" s="42" t="str">
        <x:v>Evidence boundary</x:v>
      </x:c>
      <x:c r="N7" s="42" t="str">
        <x:v>Source document</x:v>
      </x:c>
    </x:row>
    <x:row r="8" ht="126" customHeight="1">
      <x:c r="A8" s="47" t="str">
        <x:v>L061</x:v>
      </x:c>
      <x:c r="B8" s="47" t="str">
        <x:v>Amershi et al. (2019)</x:v>
      </x:c>
      <x:c r="C8" s="47" t="str">
        <x:v>Refereed conference paper</x:v>
      </x:c>
      <x:c r="D8" s="47" t="str">
        <x:v>Communications-aware supervision and traceable products</x:v>
      </x:c>
      <x:c r="E8" s="47" t="str">
        <x:v>12</x:v>
      </x:c>
      <x:c r="F8" s="48" t="n">
        <x:v>1</x:v>
      </x:c>
      <x:c r="G8" s="47" t="str">
        <x:v>Added 2026-10-26</x:v>
      </x:c>
      <x:c r="H8" s="47" t="str">
        <x:v>Cited in proposed §2.3 expansion</x:v>
      </x:c>
      <x:c r="I8" s="47" t="str">
        <x:v>Carlo reading/approval pending</x:v>
      </x:c>
      <x:c r="J8" s="47" t="str">
        <x:v>10.1145/3290605.3300233</x:v>
      </x:c>
      <x:c r="K8" s="47" t="str">
        <x:v>https://doi.org/10.1145/3290605.3300233</x:v>
      </x:c>
      <x:c r="L8" s="47" t="str">
        <x:v>Amershi, S., Weld, D., Vorvoreanu, M., Fourney, A., Nushi, B., Collisson, P., Suh, J., Iqbal, S., Bennett, P. N., Inkpen, K., Teevan, J., Kikin-Gil, R., &amp; Horvitz, E. (2019). Guidelines for human-AI interaction. In Proceedings of the 2019 CHI Conference on Human Factors in Computing Systems (Article 3, pp. 1–13). Association for Computing Machinery. https://doi.org/10.1145/3290605.3300233</x:v>
      </x:c>
      <x:c r="M8" s="47" t="str">
        <x:v>Citation inventory and body-page mapping checked against the supplied expansion; original publication not re-audited in this reconciliation.</x:v>
      </x:c>
      <x:c r="N8" s="47" t="str">
        <x:v>Nino_Chapter2_Section2-3_Proposed_Expansion_2026-10-24.docx</x:v>
      </x:c>
    </x:row>
    <x:row r="9" ht="126" customHeight="1">
      <x:c r="A9" s="47" t="str">
        <x:v>L062</x:v>
      </x:c>
      <x:c r="B9" s="47" t="str">
        <x:v>Bainbridge (1983)</x:v>
      </x:c>
      <x:c r="C9" s="47" t="str">
        <x:v>Journal article</x:v>
      </x:c>
      <x:c r="D9" s="47" t="str">
        <x:v>Situation awareness, reliance, and recovery</x:v>
      </x:c>
      <x:c r="E9" s="47" t="str">
        <x:v>10</x:v>
      </x:c>
      <x:c r="F9" s="48" t="n">
        <x:v>1</x:v>
      </x:c>
      <x:c r="G9" s="47" t="str">
        <x:v>Added 2026-10-26</x:v>
      </x:c>
      <x:c r="H9" s="47" t="str">
        <x:v>Cited in proposed §2.3 expansion</x:v>
      </x:c>
      <x:c r="I9" s="47" t="str">
        <x:v>Carlo reading/approval pending</x:v>
      </x:c>
      <x:c r="J9" s="47" t="str">
        <x:v>10.1016/0005-1098(83)90046-8</x:v>
      </x:c>
      <x:c r="K9" s="47" t="str">
        <x:v>https://doi.org/10.1016/0005-1098(83)90046-8</x:v>
      </x:c>
      <x:c r="L9" s="47" t="str">
        <x:v>Bainbridge, L. (1983). Ironies of automation. Automatica, 19(6), 775–779. https://doi.org/10.1016/0005-1098(83)90046-8</x:v>
      </x:c>
      <x:c r="M9" s="47" t="str">
        <x:v>Citation inventory and body-page mapping checked against the supplied expansion; original publication not re-audited in this reconciliation.</x:v>
      </x:c>
      <x:c r="N9" s="47" t="str">
        <x:v>Nino_Chapter2_Section2-3_Proposed_Expansion_2026-10-24.docx</x:v>
      </x:c>
    </x:row>
    <x:row r="10" ht="126" customHeight="1">
      <x:c r="A10" s="47" t="str">
        <x:v>O005</x:v>
      </x:c>
      <x:c r="B10" s="47" t="str">
        <x:v>California State Water Resources Control Board (n.d.)</x:v>
      </x:c>
      <x:c r="C10" s="47" t="str">
        <x:v>Government / agency guidance</x:v>
      </x:c>
      <x:c r="D10" s="47" t="str">
        <x:v>Municipal screening, sampling, and public authority</x:v>
      </x:c>
      <x:c r="E10" s="47" t="str">
        <x:v>15–16</x:v>
      </x:c>
      <x:c r="F10" s="48" t="n">
        <x:v>2</x:v>
      </x:c>
      <x:c r="G10" s="47" t="str">
        <x:v>Added 2026-10-26</x:v>
      </x:c>
      <x:c r="H10" s="47" t="str">
        <x:v>Cited in proposed §2.3 expansion</x:v>
      </x:c>
      <x:c r="I10" s="47" t="str">
        <x:v>Carlo reading/approval pending</x:v>
      </x:c>
      <x:c r="J10" s="47" t="str">
        <x:v>Publisher/agency URL</x:v>
      </x:c>
      <x:c r="K10" s="47" t="str">
        <x:v>https://www.mywaterquality.ca.gov/habs/resources/satellite-map.html</x:v>
      </x:c>
      <x:c r="L10" s="47" t="str">
        <x:v>California State Water Resources Control Board. (n.d.). California satellite HAB map. My Water Quality. Retrieved October 24, 2026, from https://www.mywaterquality.ca.gov/habs/resources/satellite-map.html</x:v>
      </x:c>
      <x:c r="M10" s="47" t="str">
        <x:v>Citation inventory and body-page mapping checked against the supplied expansion; original publication not re-audited in this reconciliation.</x:v>
      </x:c>
      <x:c r="N10" s="47" t="str">
        <x:v>Nino_Chapter2_Section2-3_Proposed_Expansion_2026-10-24.docx</x:v>
      </x:c>
    </x:row>
    <x:row r="11" ht="126" customHeight="1">
      <x:c r="A11" s="47" t="str">
        <x:v>L063</x:v>
      </x:c>
      <x:c r="B11" s="47" t="str">
        <x:v>Denby et al. (2023)</x:v>
      </x:c>
      <x:c r="C11" s="47" t="str">
        <x:v>Refereed conference paper</x:v>
      </x:c>
      <x:c r="D11" s="47" t="str">
        <x:v>Compute backlog; product reduction</x:v>
      </x:c>
      <x:c r="E11" s="47" t="str">
        <x:v>3–4</x:v>
      </x:c>
      <x:c r="F11" s="48" t="n">
        <x:v>2</x:v>
      </x:c>
      <x:c r="G11" s="47" t="str">
        <x:v>Added 2026-10-26</x:v>
      </x:c>
      <x:c r="H11" s="47" t="str">
        <x:v>Cited in proposed §2.3 expansion</x:v>
      </x:c>
      <x:c r="I11" s="47" t="str">
        <x:v>Carlo reading/approval pending</x:v>
      </x:c>
      <x:c r="J11" s="47" t="str">
        <x:v>10.1145/3582016.3582043</x:v>
      </x:c>
      <x:c r="K11" s="47" t="str">
        <x:v>https://doi.org/10.1145/3582016.3582043</x:v>
      </x:c>
      <x:c r="L11" s="47" t="str">
        <x:v>Denby, B., Chintalapudi, K., Chandra, R., Lucia, B., &amp; Noghabi, S. (2023). Kodan: Addressing the computational bottleneck in space. In Proceedings of the 28th ACM International Conference on Architectural Support for Programming Languages and Operating Systems, Volume 3 (pp. 392–403). Association for Computing Machinery. https://doi.org/10.1145/3582016.3582043</x:v>
      </x:c>
      <x:c r="M11" s="47" t="str">
        <x:v>Citation inventory and body-page mapping checked against the supplied expansion; original publication not re-audited in this reconciliation.</x:v>
      </x:c>
      <x:c r="N11" s="47" t="str">
        <x:v>Nino_Chapter2_Section2-3_Proposed_Expansion_2026-10-24.docx</x:v>
      </x:c>
    </x:row>
    <x:row r="12" ht="126" customHeight="1">
      <x:c r="A12" s="47" t="str">
        <x:v>L064</x:v>
      </x:c>
      <x:c r="B12" s="47" t="str">
        <x:v>Endsley and Kiris (1995)</x:v>
      </x:c>
      <x:c r="C12" s="47" t="str">
        <x:v>Journal article</x:v>
      </x:c>
      <x:c r="D12" s="47" t="str">
        <x:v>Situation awareness and takeover</x:v>
      </x:c>
      <x:c r="E12" s="47" t="str">
        <x:v>10</x:v>
      </x:c>
      <x:c r="F12" s="48" t="n">
        <x:v>1</x:v>
      </x:c>
      <x:c r="G12" s="47" t="str">
        <x:v>Added 2026-10-26</x:v>
      </x:c>
      <x:c r="H12" s="47" t="str">
        <x:v>Cited in proposed §2.3 expansion</x:v>
      </x:c>
      <x:c r="I12" s="47" t="str">
        <x:v>Carlo reading/approval pending</x:v>
      </x:c>
      <x:c r="J12" s="47" t="str">
        <x:v>10.1518/001872095779064555</x:v>
      </x:c>
      <x:c r="K12" s="47" t="str">
        <x:v>https://doi.org/10.1518/001872095779064555</x:v>
      </x:c>
      <x:c r="L12" s="47" t="str">
        <x:v>Endsley, M. R., &amp; Kiris, E. O. (1995). The out-of-the-loop performance problem and level of control in automation. Human Factors, 37(2), 381–394. https://doi.org/10.1518/001872095779064555</x:v>
      </x:c>
      <x:c r="M12" s="47" t="str">
        <x:v>Citation inventory and body-page mapping checked against the supplied expansion; original publication not re-audited in this reconciliation.</x:v>
      </x:c>
      <x:c r="N12" s="47" t="str">
        <x:v>Nino_Chapter2_Section2-3_Proposed_Expansion_2026-10-24.docx</x:v>
      </x:c>
    </x:row>
    <x:row r="13" ht="126" customHeight="1">
      <x:c r="A13" s="47" t="str">
        <x:v>L065</x:v>
      </x:c>
      <x:c r="B13" s="47" t="str">
        <x:v>Geifman and El-Yaniv (2017)</x:v>
      </x:c>
      <x:c r="C13" s="47" t="str">
        <x:v>Refereed conference paper</x:v>
      </x:c>
      <x:c r="D13" s="47" t="str">
        <x:v>Selective classification and referral</x:v>
      </x:c>
      <x:c r="E13" s="47" t="str">
        <x:v>11</x:v>
      </x:c>
      <x:c r="F13" s="48" t="n">
        <x:v>1</x:v>
      </x:c>
      <x:c r="G13" s="47" t="str">
        <x:v>Added 2026-10-26</x:v>
      </x:c>
      <x:c r="H13" s="47" t="str">
        <x:v>Cited in proposed §2.3 expansion</x:v>
      </x:c>
      <x:c r="I13" s="47" t="str">
        <x:v>Carlo reading/approval pending</x:v>
      </x:c>
      <x:c r="J13" s="47" t="str">
        <x:v>Publisher/agency URL</x:v>
      </x:c>
      <x:c r="K13" s="47" t="str">
        <x:v>https://proceedings.neurips.cc/paper/2017/hash/4a8423d5e91fda00bb7e46540e2b0cf1-Abstract.html</x:v>
      </x:c>
      <x:c r="L13" s="47" t="str">
        <x:v>Geifman, Y., &amp; El-Yaniv, R. (2017). Selective classification for deep neural networks. In I. Guyon, U. von Luxburg, S. Bengio, H. Wallach, R. Fergus, S. Vishwanathan, &amp; R. Garnett (Eds.), Advances in neural information processing systems (Vol. 30). Curran Associates. https://proceedings.neurips.cc/paper/2017/hash/4a8423d5e91fda00bb7e46540e2b0cf1-Abstract.html</x:v>
      </x:c>
      <x:c r="M13" s="47" t="str">
        <x:v>Citation inventory and body-page mapping checked against the supplied expansion; original publication not re-audited in this reconciliation.</x:v>
      </x:c>
      <x:c r="N13" s="47" t="str">
        <x:v>Nino_Chapter2_Section2-3_Proposed_Expansion_2026-10-24.docx</x:v>
      </x:c>
    </x:row>
    <x:row r="14" ht="126" customHeight="1">
      <x:c r="A14" s="47" t="str">
        <x:v>L011</x:v>
      </x:c>
      <x:c r="B14" s="47" t="str">
        <x:v>Giuffrida et al. (2020)</x:v>
      </x:c>
      <x:c r="C14" s="47" t="str">
        <x:v>Journal article</x:v>
      </x:c>
      <x:c r="D14" s="47" t="str">
        <x:v>Model memory, inference timing, difficult-scene accuracy</x:v>
      </x:c>
      <x:c r="E14" s="47" t="str">
        <x:v>2, 11</x:v>
      </x:c>
      <x:c r="F14" s="48" t="n">
        <x:v>3</x:v>
      </x:c>
      <x:c r="G14" s="47" t="str">
        <x:v>Existing ACE record</x:v>
      </x:c>
      <x:c r="H14" s="47" t="str">
        <x:v>Cited in proposed §2.3 expansion</x:v>
      </x:c>
      <x:c r="I14" s="47" t="str">
        <x:v>Carlo reading/approval pending</x:v>
      </x:c>
      <x:c r="J14" s="47" t="str">
        <x:v>10.3390/rs12142205</x:v>
      </x:c>
      <x:c r="K14" s="47" t="str">
        <x:v>https://doi.org/10.3390/rs12142205</x:v>
      </x:c>
      <x:c r="L14" s="47" t="str">
        <x:v>Giuffrida, G., Diana, L., de Gioia, F., Benelli, G., Meoni, G., Donati, M., &amp; Fanucci, L. (2020). CloudScout: A deep neural network for on-board cloud detection on hyperspectral images. Remote Sensing, 12(14), Article 2205. https://doi.org/10.3390/rs12142205</x:v>
      </x:c>
      <x:c r="M14" s="47" t="str">
        <x:v>Citation inventory and body-page mapping checked against the supplied expansion; original publication not re-audited in this reconciliation.</x:v>
      </x:c>
      <x:c r="N14" s="47" t="str">
        <x:v>Nino_Chapter2_Section2-3_Proposed_Expansion_2026-10-24.docx</x:v>
      </x:c>
    </x:row>
    <x:row r="15" ht="126" customHeight="1">
      <x:c r="A15" s="47" t="str">
        <x:v>L066</x:v>
      </x:c>
      <x:c r="B15" s="47" t="str">
        <x:v>Guo et al. (2017)</x:v>
      </x:c>
      <x:c r="C15" s="47" t="str">
        <x:v>Refereed conference paper</x:v>
      </x:c>
      <x:c r="D15" s="47" t="str">
        <x:v>Confidence calibration</x:v>
      </x:c>
      <x:c r="E15" s="47" t="str">
        <x:v>11</x:v>
      </x:c>
      <x:c r="F15" s="48" t="n">
        <x:v>1</x:v>
      </x:c>
      <x:c r="G15" s="47" t="str">
        <x:v>Added 2026-10-26</x:v>
      </x:c>
      <x:c r="H15" s="47" t="str">
        <x:v>Cited in proposed §2.3 expansion</x:v>
      </x:c>
      <x:c r="I15" s="47" t="str">
        <x:v>Carlo reading/approval pending</x:v>
      </x:c>
      <x:c r="J15" s="47" t="str">
        <x:v>Publisher/agency URL</x:v>
      </x:c>
      <x:c r="K15" s="47" t="str">
        <x:v>https://proceedings.mlr.press/v70/guo17a.html</x:v>
      </x:c>
      <x:c r="L15" s="47" t="str">
        <x:v>Guo, C., Pleiss, G., Sun, Y., &amp; Weinberger, K. Q. (2017). On calibration of modern neural networks. In D. Precup &amp; Y. W. Teh (Eds.), Proceedings of the 34th International Conference on Machine Learning (Vol. 70, pp. 1321–1330). Proceedings of Machine Learning Research. https://proceedings.mlr.press/v70/guo17a.html</x:v>
      </x:c>
      <x:c r="M15" s="47" t="str">
        <x:v>Citation inventory and body-page mapping checked against the supplied expansion; original publication not re-audited in this reconciliation.</x:v>
      </x:c>
      <x:c r="N15" s="47" t="str">
        <x:v>Nino_Chapter2_Section2-3_Proposed_Expansion_2026-10-24.docx</x:v>
      </x:c>
    </x:row>
    <x:row r="16" ht="126" customHeight="1">
      <x:c r="A16" s="47" t="str">
        <x:v>L067</x:v>
      </x:c>
      <x:c r="B16" s="47" t="str">
        <x:v>Lee and See (2004)</x:v>
      </x:c>
      <x:c r="C16" s="47" t="str">
        <x:v>Journal article</x:v>
      </x:c>
      <x:c r="D16" s="47" t="str">
        <x:v>Appropriate reliance</x:v>
      </x:c>
      <x:c r="E16" s="47" t="str">
        <x:v>10</x:v>
      </x:c>
      <x:c r="F16" s="48" t="n">
        <x:v>1</x:v>
      </x:c>
      <x:c r="G16" s="47" t="str">
        <x:v>Added 2026-10-26</x:v>
      </x:c>
      <x:c r="H16" s="47" t="str">
        <x:v>Cited in proposed §2.3 expansion</x:v>
      </x:c>
      <x:c r="I16" s="47" t="str">
        <x:v>Carlo reading/approval pending</x:v>
      </x:c>
      <x:c r="J16" s="47" t="str">
        <x:v>10.1518/hfes.46.1.50_30392</x:v>
      </x:c>
      <x:c r="K16" s="47" t="str">
        <x:v>https://doi.org/10.1518/hfes.46.1.50_30392</x:v>
      </x:c>
      <x:c r="L16" s="47" t="str">
        <x:v>Lee, J. D., &amp; See, K. A. (2004). Trust in automation: Designing for appropriate reliance. Human Factors, 46(1), 50–80. https://doi.org/10.1518/hfes.46.1.50_30392</x:v>
      </x:c>
      <x:c r="M16" s="47" t="str">
        <x:v>Citation inventory and body-page mapping checked against the supplied expansion; original publication not re-audited in this reconciliation.</x:v>
      </x:c>
      <x:c r="N16" s="47" t="str">
        <x:v>Nino_Chapter2_Section2-3_Proposed_Expansion_2026-10-24.docx</x:v>
      </x:c>
    </x:row>
    <x:row r="17" ht="126" customHeight="1">
      <x:c r="A17" s="47" t="str">
        <x:v>L068</x:v>
      </x:c>
      <x:c r="B17" s="47" t="str">
        <x:v>Parasuraman and Riley (1997)</x:v>
      </x:c>
      <x:c r="C17" s="47" t="str">
        <x:v>Journal article</x:v>
      </x:c>
      <x:c r="D17" s="47" t="str">
        <x:v>Use, misuse, disuse, and abuse</x:v>
      </x:c>
      <x:c r="E17" s="47" t="str">
        <x:v>10</x:v>
      </x:c>
      <x:c r="F17" s="48" t="n">
        <x:v>1</x:v>
      </x:c>
      <x:c r="G17" s="47" t="str">
        <x:v>Added 2026-10-26</x:v>
      </x:c>
      <x:c r="H17" s="47" t="str">
        <x:v>Cited in proposed §2.3 expansion</x:v>
      </x:c>
      <x:c r="I17" s="47" t="str">
        <x:v>Carlo reading/approval pending</x:v>
      </x:c>
      <x:c r="J17" s="47" t="str">
        <x:v>10.1518/001872097778543886</x:v>
      </x:c>
      <x:c r="K17" s="47" t="str">
        <x:v>https://doi.org/10.1518/001872097778543886</x:v>
      </x:c>
      <x:c r="L17" s="47" t="str">
        <x:v>Parasuraman, R., &amp; Riley, V. (1997). Humans and automation: Use, misuse, disuse, abuse. Human Factors, 39(2), 230–253. https://doi.org/10.1518/001872097778543886</x:v>
      </x:c>
      <x:c r="M17" s="47" t="str">
        <x:v>Citation inventory and body-page mapping checked against the supplied expansion; original publication not re-audited in this reconciliation.</x:v>
      </x:c>
      <x:c r="N17" s="47" t="str">
        <x:v>Nino_Chapter2_Section2-3_Proposed_Expansion_2026-10-24.docx</x:v>
      </x:c>
    </x:row>
    <x:row r="18" ht="126" customHeight="1">
      <x:c r="A18" s="47" t="str">
        <x:v>L069</x:v>
      </x:c>
      <x:c r="B18" s="47" t="str">
        <x:v>Parasuraman et al. (2000)</x:v>
      </x:c>
      <x:c r="C18" s="47" t="str">
        <x:v>Journal article</x:v>
      </x:c>
      <x:c r="D18" s="47" t="str">
        <x:v>Function allocation and decision authority</x:v>
      </x:c>
      <x:c r="E18" s="47" t="str">
        <x:v>9–10</x:v>
      </x:c>
      <x:c r="F18" s="48" t="n">
        <x:v>2</x:v>
      </x:c>
      <x:c r="G18" s="47" t="str">
        <x:v>Added 2026-10-26</x:v>
      </x:c>
      <x:c r="H18" s="47" t="str">
        <x:v>Cited in proposed §2.3 expansion</x:v>
      </x:c>
      <x:c r="I18" s="47" t="str">
        <x:v>Carlo reading/approval pending</x:v>
      </x:c>
      <x:c r="J18" s="47" t="str">
        <x:v>10.1109/3468.844354</x:v>
      </x:c>
      <x:c r="K18" s="47" t="str">
        <x:v>https://doi.org/10.1109/3468.844354</x:v>
      </x:c>
      <x:c r="L18" s="47" t="str">
        <x:v>Parasuraman, R., Sheridan, T. B., &amp; Wickens, C. D. (2000). A model for types and levels of human interaction with automation. IEEE Transactions on Systems, Man, and Cybernetics—Part A: Systems and Humans, 30(3), 286–297. https://doi.org/10.1109/3468.844354</x:v>
      </x:c>
      <x:c r="M18" s="47" t="str">
        <x:v>Citation inventory and body-page mapping checked against the supplied expansion; original publication not re-audited in this reconciliation.</x:v>
      </x:c>
      <x:c r="N18" s="47" t="str">
        <x:v>Nino_Chapter2_Section2-3_Proposed_Expansion_2026-10-24.docx</x:v>
      </x:c>
    </x:row>
    <x:row r="19" ht="126" customHeight="1">
      <x:c r="A19" s="47" t="str">
        <x:v>L070</x:v>
      </x:c>
      <x:c r="B19" s="47" t="str">
        <x:v>Petricola et al. (2022)</x:v>
      </x:c>
      <x:c r="C19" s="47" t="str">
        <x:v>Journal article</x:v>
      </x:c>
      <x:c r="D19" s="47" t="str">
        <x:v>Flood information for hospital access</x:v>
      </x:c>
      <x:c r="E19" s="47" t="str">
        <x:v>6, 14</x:v>
      </x:c>
      <x:c r="F19" s="48" t="n">
        <x:v>2</x:v>
      </x:c>
      <x:c r="G19" s="47" t="str">
        <x:v>Added 2026-10-26</x:v>
      </x:c>
      <x:c r="H19" s="47" t="str">
        <x:v>Cited in proposed §2.3 expansion</x:v>
      </x:c>
      <x:c r="I19" s="47" t="str">
        <x:v>Carlo reading/approval pending</x:v>
      </x:c>
      <x:c r="J19" s="47" t="str">
        <x:v>10.1186/s12942-022-00315-2</x:v>
      </x:c>
      <x:c r="K19" s="47" t="str">
        <x:v>https://doi.org/10.1186/s12942-022-00315-2</x:v>
      </x:c>
      <x:c r="L19" s="47" t="str">
        <x:v>Petricola, S., Reinmuth, M., Lautenbach, S., Hatfield, C., &amp; Zipf, A. (2022). Assessing road criticality and loss of healthcare accessibility during floods: The case of Cyclone Idai, Mozambique 2019. International Journal of Health Geographics, 21, Article 14. https://doi.org/10.1186/s12942-022-00315-2</x:v>
      </x:c>
      <x:c r="M19" s="47" t="str">
        <x:v>Citation inventory and body-page mapping checked against the supplied expansion; original publication not re-audited in this reconciliation.</x:v>
      </x:c>
      <x:c r="N19" s="47" t="str">
        <x:v>Nino_Chapter2_Section2-3_Proposed_Expansion_2026-10-24.docx</x:v>
      </x:c>
    </x:row>
    <x:row r="20" ht="126" customHeight="1">
      <x:c r="A20" s="47" t="str">
        <x:v>L044</x:v>
      </x:c>
      <x:c r="B20" s="47" t="str">
        <x:v>Pitoňák et al. (2022)</x:v>
      </x:c>
      <x:c r="C20" s="47" t="str">
        <x:v>Journal article</x:v>
      </x:c>
      <x:c r="D20" s="47" t="str">
        <x:v>Quantized onboard processing</x:v>
      </x:c>
      <x:c r="E20" s="47" t="str">
        <x:v>2</x:v>
      </x:c>
      <x:c r="F20" s="48" t="n">
        <x:v>1</x:v>
      </x:c>
      <x:c r="G20" s="47" t="str">
        <x:v>Existing ACE record</x:v>
      </x:c>
      <x:c r="H20" s="47" t="str">
        <x:v>Cited in proposed §2.3 expansion</x:v>
      </x:c>
      <x:c r="I20" s="47" t="str">
        <x:v>Carlo reading/approval pending</x:v>
      </x:c>
      <x:c r="J20" s="47" t="str">
        <x:v>10.3390/rs14133180</x:v>
      </x:c>
      <x:c r="K20" s="47" t="str">
        <x:v>https://doi.org/10.3390/rs14133180</x:v>
      </x:c>
      <x:c r="L20" s="47" t="str">
        <x:v>Pitoňák, R., Mucha, J., Dobiš, L., Javorka, M., &amp; Marušin, M. (2022). CloudSatNet-1: FPGA-based hardware-accelerated quantized CNN for satellite on-board cloud coverage classification. Remote Sensing, 14(13), Article 3180. https://doi.org/10.3390/rs14133180</x:v>
      </x:c>
      <x:c r="M20" s="47" t="str">
        <x:v>Citation inventory and body-page mapping checked against the supplied expansion; original publication not re-audited in this reconciliation.</x:v>
      </x:c>
      <x:c r="N20" s="47" t="str">
        <x:v>Nino_Chapter2_Section2-3_Proposed_Expansion_2026-10-24.docx</x:v>
      </x:c>
    </x:row>
    <x:row r="21" ht="126" customHeight="1">
      <x:c r="A21" s="47" t="str">
        <x:v>L012</x:v>
      </x:c>
      <x:c r="B21" s="47" t="str">
        <x:v>Rapuano et al. (2021)</x:v>
      </x:c>
      <x:c r="C21" s="47" t="str">
        <x:v>Journal article</x:v>
      </x:c>
      <x:c r="D21" s="47" t="str">
        <x:v>Measured inference time, power, and energy</x:v>
      </x:c>
      <x:c r="E21" s="47" t="str">
        <x:v>1–2</x:v>
      </x:c>
      <x:c r="F21" s="48" t="n">
        <x:v>2</x:v>
      </x:c>
      <x:c r="G21" s="47" t="str">
        <x:v>Existing ACE record</x:v>
      </x:c>
      <x:c r="H21" s="47" t="str">
        <x:v>Cited in proposed §2.3 expansion</x:v>
      </x:c>
      <x:c r="I21" s="47" t="str">
        <x:v>Carlo reading/approval pending</x:v>
      </x:c>
      <x:c r="J21" s="47" t="str">
        <x:v>10.3390/rs13081518</x:v>
      </x:c>
      <x:c r="K21" s="47" t="str">
        <x:v>https://doi.org/10.3390/rs13081518</x:v>
      </x:c>
      <x:c r="L21" s="47" t="str">
        <x:v>Rapuano, E., Meoni, G., Pacini, T., Dinelli, G., Furano, G., Giuffrida, G., &amp; Fanucci, L. (2021). An FPGA-based hardware accelerator for CNNs inference on board satellites: Benchmarking with Myriad 2-based solution for the CloudScout case study. Remote Sensing, 13(8), Article 1518. https://doi.org/10.3390/rs13081518</x:v>
      </x:c>
      <x:c r="M21" s="47" t="str">
        <x:v>Citation inventory and body-page mapping checked against the supplied expansion; original publication not re-audited in this reconciliation.</x:v>
      </x:c>
      <x:c r="N21" s="47" t="str">
        <x:v>Nino_Chapter2_Section2-3_Proposed_Expansion_2026-10-24.docx</x:v>
      </x:c>
    </x:row>
    <x:row r="22" ht="126" customHeight="1">
      <x:c r="A22" s="47" t="str">
        <x:v>L018</x:v>
      </x:c>
      <x:c r="B22" s="47" t="str">
        <x:v>Sargent (2013)</x:v>
      </x:c>
      <x:c r="C22" s="47" t="str">
        <x:v>Journal article</x:v>
      </x:c>
      <x:c r="D22" s="47" t="str">
        <x:v>Implementation verification and application validity</x:v>
      </x:c>
      <x:c r="E22" s="47" t="str">
        <x:v>8, 16</x:v>
      </x:c>
      <x:c r="F22" s="48" t="n">
        <x:v>2</x:v>
      </x:c>
      <x:c r="G22" s="47" t="str">
        <x:v>Existing ACE record</x:v>
      </x:c>
      <x:c r="H22" s="47" t="str">
        <x:v>Cited in proposed §2.3 expansion</x:v>
      </x:c>
      <x:c r="I22" s="47" t="str">
        <x:v>Carlo reading/approval pending</x:v>
      </x:c>
      <x:c r="J22" s="47" t="str">
        <x:v>10.1057/jos.2012.20</x:v>
      </x:c>
      <x:c r="K22" s="47" t="str">
        <x:v>https://doi.org/10.1057/jos.2012.20</x:v>
      </x:c>
      <x:c r="L22" s="47" t="str">
        <x:v>Sargent, R. G. (2013). Verification and validation of simulation models. Journal of Simulation, 7(1), 12–24. https://doi.org/10.1057/jos.2012.20</x:v>
      </x:c>
      <x:c r="M22" s="47" t="str">
        <x:v>Citation inventory and body-page mapping checked against the supplied expansion; original publication not re-audited in this reconciliation.</x:v>
      </x:c>
      <x:c r="N22" s="47" t="str">
        <x:v>Nino_Chapter2_Section2-3_Proposed_Expansion_2026-10-24.docx</x:v>
      </x:c>
    </x:row>
    <x:row r="23" ht="126" customHeight="1">
      <x:c r="A23" s="47" t="str">
        <x:v>L071</x:v>
      </x:c>
      <x:c r="B23" s="47" t="str">
        <x:v>Schaeffer et al. (2018)</x:v>
      </x:c>
      <x:c r="C23" s="47" t="str">
        <x:v>Journal article</x:v>
      </x:c>
      <x:c r="D23" s="47" t="str">
        <x:v>Municipal reservoir and bloom monitoring</x:v>
      </x:c>
      <x:c r="E23" s="47" t="str">
        <x:v>7, 15</x:v>
      </x:c>
      <x:c r="F23" s="48" t="n">
        <x:v>2</x:v>
      </x:c>
      <x:c r="G23" s="47" t="str">
        <x:v>Added 2026-10-26</x:v>
      </x:c>
      <x:c r="H23" s="47" t="str">
        <x:v>Cited in proposed §2.3 expansion</x:v>
      </x:c>
      <x:c r="I23" s="47" t="str">
        <x:v>Carlo reading/approval pending</x:v>
      </x:c>
      <x:c r="J23" s="47" t="str">
        <x:v>10.1016/j.envsoft.2018.08.015</x:v>
      </x:c>
      <x:c r="K23" s="47" t="str">
        <x:v>https://doi.org/10.1016/j.envsoft.2018.08.015</x:v>
      </x:c>
      <x:c r="L23" s="47" t="str">
        <x:v>Schaeffer, B. A., Bailey, S. W., Conmy, R. N., Galvin, M., Ignatius, A. R., Johnston, J. M., Keith, D. J., Lunetta, R. S., Parmar, R., Stumpf, R. P., Urquhart, E. A., Werdell, P. J., &amp; Wolfe, K. (2018). Mobile device application for monitoring cyanobacteria harmful algal blooms using Sentinel-3 satellite Ocean and Land Colour Instruments. Environmental Modelling &amp; Software, 109, 93–103. https://doi.org/10.1016/j.envsoft.2018.08.015</x:v>
      </x:c>
      <x:c r="M23" s="47" t="str">
        <x:v>Citation inventory and body-page mapping checked against the supplied expansion; original publication not re-audited in this reconciliation.</x:v>
      </x:c>
      <x:c r="N23" s="47" t="str">
        <x:v>Nino_Chapter2_Section2-3_Proposed_Expansion_2026-10-24.docx</x:v>
      </x:c>
    </x:row>
    <x:row r="24" ht="126" customHeight="1">
      <x:c r="A24" s="47" t="str">
        <x:v>L072</x:v>
      </x:c>
      <x:c r="B24" s="47" t="str">
        <x:v>Schroeder et al. (2014)</x:v>
      </x:c>
      <x:c r="C24" s="47" t="str">
        <x:v>Journal article</x:v>
      </x:c>
      <x:c r="D24" s="47" t="str">
        <x:v>School wildfire situational awareness</x:v>
      </x:c>
      <x:c r="E24" s="47" t="str">
        <x:v>5, 13</x:v>
      </x:c>
      <x:c r="F24" s="48" t="n">
        <x:v>2</x:v>
      </x:c>
      <x:c r="G24" s="47" t="str">
        <x:v>Added 2026-10-26</x:v>
      </x:c>
      <x:c r="H24" s="47" t="str">
        <x:v>Cited in proposed §2.3 expansion</x:v>
      </x:c>
      <x:c r="I24" s="47" t="str">
        <x:v>Carlo reading/approval pending</x:v>
      </x:c>
      <x:c r="J24" s="47" t="str">
        <x:v>10.1016/j.rse.2013.12.008</x:v>
      </x:c>
      <x:c r="K24" s="47" t="str">
        <x:v>https://doi.org/10.1016/j.rse.2013.12.008</x:v>
      </x:c>
      <x:c r="L24" s="47" t="str">
        <x:v>Schroeder, W., Oliva, P., Giglio, L., &amp; Csiszar, I. A. (2014). The new VIIRS 375 m active fire detection data product: Algorithm description and initial assessment. Remote Sensing of Environment, 143, 85–96. https://doi.org/10.1016/j.rse.2013.12.008</x:v>
      </x:c>
      <x:c r="M24" s="47" t="str">
        <x:v>Citation inventory and body-page mapping checked against the supplied expansion; original publication not re-audited in this reconciliation.</x:v>
      </x:c>
      <x:c r="N24" s="47" t="str">
        <x:v>Nino_Chapter2_Section2-3_Proposed_Expansion_2026-10-24.docx</x:v>
      </x:c>
    </x:row>
    <x:row r="25" ht="126" customHeight="1">
      <x:c r="A25" s="47" t="str">
        <x:v>L073</x:v>
      </x:c>
      <x:c r="B25" s="47" t="str">
        <x:v>Twele et al. (2016)</x:v>
      </x:c>
      <x:c r="C25" s="47" t="str">
        <x:v>Journal article</x:v>
      </x:c>
      <x:c r="D25" s="47" t="str">
        <x:v>Automated flood-mapping workflow</x:v>
      </x:c>
      <x:c r="E25" s="47" t="str">
        <x:v>6, 14</x:v>
      </x:c>
      <x:c r="F25" s="48" t="n">
        <x:v>2</x:v>
      </x:c>
      <x:c r="G25" s="47" t="str">
        <x:v>Added 2026-10-26</x:v>
      </x:c>
      <x:c r="H25" s="47" t="str">
        <x:v>Cited in proposed §2.3 expansion</x:v>
      </x:c>
      <x:c r="I25" s="47" t="str">
        <x:v>Carlo reading/approval pending</x:v>
      </x:c>
      <x:c r="J25" s="47" t="str">
        <x:v>10.1080/01431161.2016.1192304</x:v>
      </x:c>
      <x:c r="K25" s="47" t="str">
        <x:v>https://doi.org/10.1080/01431161.2016.1192304</x:v>
      </x:c>
      <x:c r="L25" s="47" t="str">
        <x:v>Twele, A., Cao, W., Plank, S., &amp; Martinis, S. (2016). Sentinel-1-based flood mapping: A fully automated processing chain. International Journal of Remote Sensing, 37(13), 2990–3004. https://doi.org/10.1080/01431161.2016.1192304</x:v>
      </x:c>
      <x:c r="M25" s="47" t="str">
        <x:v>Citation inventory and body-page mapping checked against the supplied expansion; original publication not re-audited in this reconciliation.</x:v>
      </x:c>
      <x:c r="N25" s="47" t="str">
        <x:v>Nino_Chapter2_Section2-3_Proposed_Expansion_2026-10-24.docx</x:v>
      </x:c>
    </x:row>
    <x:row r="26" ht="126" customHeight="1">
      <x:c r="A26" s="47" t="str">
        <x:v>O006</x:v>
      </x:c>
      <x:c r="B26" s="47" t="str">
        <x:v>U.S. Environmental Protection Agency (2026)</x:v>
      </x:c>
      <x:c r="C26" s="47" t="str">
        <x:v>Government / agency guidance</x:v>
      </x:c>
      <x:c r="D26" s="47" t="str">
        <x:v>CyAN service context</x:v>
      </x:c>
      <x:c r="E26" s="47" t="str">
        <x:v>7–8</x:v>
      </x:c>
      <x:c r="F26" s="48" t="n">
        <x:v>1</x:v>
      </x:c>
      <x:c r="G26" s="47" t="str">
        <x:v>Added 2026-10-26</x:v>
      </x:c>
      <x:c r="H26" s="47" t="str">
        <x:v>Cited in proposed §2.3 expansion</x:v>
      </x:c>
      <x:c r="I26" s="47" t="str">
        <x:v>Carlo reading/approval pending</x:v>
      </x:c>
      <x:c r="J26" s="47" t="str">
        <x:v>Publisher/agency URL</x:v>
      </x:c>
      <x:c r="K26" s="47" t="str">
        <x:v>https://www.epa.gov/water-research/cyanobacteria-assessment-network-application-cyan-app</x:v>
      </x:c>
      <x:c r="L26" s="47" t="str">
        <x:v>U.S. Environmental Protection Agency. (2026, March 31). Cyanobacteria Assessment Network application (CyAN app). https://www.epa.gov/water-research/cyanobacteria-assessment-network-application-cyan-app</x:v>
      </x:c>
      <x:c r="M26" s="47" t="str">
        <x:v>Citation inventory and body-page mapping checked against the supplied expansion; original publication not re-audited in this reconciliation.</x:v>
      </x:c>
      <x:c r="N26" s="47" t="str">
        <x:v>Nino_Chapter2_Section2-3_Proposed_Expansion_2026-10-24.docx</x:v>
      </x:c>
    </x:row>
    <x:row r="27" ht="126" customHeight="1">
      <x:c r="A27" s="47" t="str">
        <x:v>O007</x:v>
      </x:c>
      <x:c r="B27" s="47" t="str">
        <x:v>U.S. Environmental Protection Agency and CDC (2014)</x:v>
      </x:c>
      <x:c r="C27" s="47" t="str">
        <x:v>Government / agency guidance</x:v>
      </x:c>
      <x:c r="D27" s="47" t="str">
        <x:v>School air-quality decisions</x:v>
      </x:c>
      <x:c r="E27" s="47" t="str">
        <x:v>5, 13</x:v>
      </x:c>
      <x:c r="F27" s="48" t="n">
        <x:v>2</x:v>
      </x:c>
      <x:c r="G27" s="47" t="str">
        <x:v>Added 2026-10-26</x:v>
      </x:c>
      <x:c r="H27" s="47" t="str">
        <x:v>Cited in proposed §2.3 expansion</x:v>
      </x:c>
      <x:c r="I27" s="47" t="str">
        <x:v>Carlo reading/approval pending</x:v>
      </x:c>
      <x:c r="J27" s="47" t="str">
        <x:v>Publisher/agency URL</x:v>
      </x:c>
      <x:c r="K27" s="47" t="str">
        <x:v>https://stacks.cdc.gov/view/cdc/108685/cdc_108685_DS1.pdf</x:v>
      </x:c>
      <x:c r="L27" s="47" t="str">
        <x:v>U.S. Environmental Protection Agency, &amp; Centers for Disease Control and Prevention. (2014, August). Air quality and outdoor activity guidance for schools (EPA-456/F-14-003). https://stacks.cdc.gov/view/cdc/108685/cdc_108685_DS1.pdf</x:v>
      </x:c>
      <x:c r="M27" s="47" t="str">
        <x:v>Citation inventory and body-page mapping checked against the supplied expansion; original publication not re-audited in this reconciliation.</x:v>
      </x:c>
      <x:c r="N27" s="47" t="str">
        <x:v>Nino_Chapter2_Section2-3_Proposed_Expansion_2026-10-24.docx</x:v>
      </x:c>
    </x:row>
  </x:sheetData>
  <x:mergeCells>
    <x:mergeCell ref="A1:N1"/>
    <x:mergeCell ref="A2:N2"/>
  </x:mergeCells>
  <x:conditionalFormatting sqref="G8:G27">
    <x:cfRule type="expression" dxfId="0" priority="1">
      <x:formula>$G8="Added 2026-10-26"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3d06b5f78f466b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64" hidden="0" customWidth="1"/>
    <x:col min="3" max="3" width="90" hidden="0" customWidth="1"/>
  </x:cols>
  <x:sheetData>
    <x:row r="1" ht="28" customHeight="1">
      <x:c r="A1" s="41" t="str">
        <x:v>Control</x:v>
      </x:c>
      <x:c r="B1" s="41" t="str">
        <x:v>Value</x:v>
      </x:c>
      <x:c r="C1" s="41" t="str">
        <x:v>Evidence / scope</x:v>
      </x:c>
    </x:row>
    <x:row r="2" ht="60" customHeight="1">
      <x:c r="A2" s="47" t="str">
        <x:v>Configuration</x:v>
      </x:c>
      <x:c r="B2" s="47" t="str">
        <x:v>v02 / CFG002</x:v>
      </x:c>
      <x:c r="C2" s="47" t="str">
        <x:v>Nino_Chapter2_ACE_Literature_Data_Register_2026-10-26_v02_Section23_Reconciled__CFG002.xlsx</x:v>
      </x:c>
    </x:row>
    <x:row r="3" ht="60" customHeight="1">
      <x:c r="A3" s="47" t="str">
        <x:v>Authority</x:v>
      </x:c>
      <x:c r="B3" s="47" t="str">
        <x:v>Google Drive</x:v>
      </x:c>
      <x:c r="C3" s="47" t="str">
        <x:v>GitHub mirrors the verified Drive-controlled bytes.</x:v>
      </x:c>
    </x:row>
    <x:row r="4" ht="60" customHeight="1">
      <x:c r="A4" s="47" t="str">
        <x:v>Source manuscript</x:v>
      </x:c>
      <x:c r="B4" s="47" t="str">
        <x:v>Nino_Chapter2_Section2-3_Proposed_Expansion_2026-10-24.docx</x:v>
      </x:c>
      <x:c r="C4" s="47" t="str">
        <x:v>Separate proposed expansion; body pages 1–16; References pages 17–20.</x:v>
      </x:c>
    </x:row>
    <x:row r="5" ht="60" customHeight="1">
      <x:c r="A5" s="47" t="str">
        <x:v>Manuscript SHA-256</x:v>
      </x:c>
      <x:c r="B5" s="47" t="str">
        <x:v>40cc8d52dc9dc8e5dd58a1bb1afec1caee17a83025c7f66a76d5942e150e20d5</x:v>
      </x:c>
      <x:c r="C5" s="47" t="str">
        <x:v>Matches the REDOWNLOAD copy; manuscript is unchanged.</x:v>
      </x:c>
    </x:row>
    <x:row r="6" ht="60" customHeight="1">
      <x:c r="A6" s="47" t="str">
        <x:v>References mapped</x:v>
      </x:c>
      <x:c r="B6" s="47" t="n">
        <x:f>'Ch2 Citation Reconciliation'!A5</x:f>
        <x:v>20</x:v>
      </x:c>
      <x:c r="C6" s="47" t="str">
        <x:v>Every bibliography source has an in-text location.</x:v>
      </x:c>
    </x:row>
    <x:row r="7" ht="60" customHeight="1">
      <x:c r="A7" s="47" t="str">
        <x:v>Previously present in ACE</x:v>
      </x:c>
      <x:c r="B7" s="47" t="n">
        <x:f>'Ch2 Citation Reconciliation'!C5</x:f>
        <x:v>4</x:v>
      </x:c>
      <x:c r="C7" s="47" t="str">
        <x:v>L011; L012; L018; L044 retained.</x:v>
      </x:c>
    </x:row>
    <x:row r="8" ht="60" customHeight="1">
      <x:c r="A8" s="47" t="str">
        <x:v>New ACE records</x:v>
      </x:c>
      <x:c r="B8" s="47" t="n">
        <x:f>'Ch2 Citation Reconciliation'!B5</x:f>
        <x:v>16</x:v>
      </x:c>
      <x:c r="C8" s="47" t="str">
        <x:v>13 scholarly candidates (L061–L073); 3 agency authorities (O005–O007).</x:v>
      </x:c>
    </x:row>
    <x:row r="9" ht="60" customHeight="1">
      <x:c r="A9" s="47" t="str">
        <x:v>Manuscript-use status</x:v>
      </x:c>
      <x:c r="B9" s="47" t="str">
        <x:v>Cited in proposed §2.3 expansion</x:v>
      </x:c>
      <x:c r="C9" s="47" t="str">
        <x:v>Cited in a proposed working expansion; final selection/acceptance remains separate.</x:v>
      </x:c>
    </x:row>
    <x:row r="10" ht="60" customHeight="1">
      <x:c r="A10" s="47" t="str">
        <x:v>Carlo reading/approval</x:v>
      </x:c>
      <x:c r="B10" s="47" t="str">
        <x:v>Carlo reading/approval pending</x:v>
      </x:c>
      <x:c r="C10" s="47" t="str">
        <x:v>Existing Adoption fields retained; no automatic promotion to Adopted.</x:v>
      </x:c>
    </x:row>
    <x:row r="11" ht="60" customHeight="1">
      <x:c r="A11" s="47" t="str">
        <x:v>Bibliographic basis</x:v>
      </x:c>
      <x:c r="B11" s="47" t="str">
        <x:v>Supplied expansion References</x:v>
      </x:c>
      <x:c r="C11" s="47" t="str">
        <x:v>Titles, author strings, dates, DOI/URLs transcribed; publisher/full-text verification not repeated.</x:v>
      </x:c>
    </x:row>
    <x:row r="12" ht="60" customHeight="1">
      <x:c r="A12" s="47" t="str">
        <x:v>Data readiness</x:v>
      </x:c>
      <x:c r="B12" s="47" t="str">
        <x:v>Unchanged</x:v>
      </x:c>
      <x:c r="C12" s="47" t="str">
        <x:v>Agency pages and literature citations add supporting context, not new ACE numeric observations.</x:v>
      </x:c>
    </x:row>
    <x:row r="13" ht="60" customHeight="1">
      <x:c r="A13" s="47" t="str">
        <x:v>Protected content</x:v>
      </x:c>
      <x:c r="B13" s="47" t="str">
        <x:v>Existing source IDs, scores, contact history, and readiness records retained</x:v>
      </x:c>
      <x:c r="C13" s="47" t="str">
        <x:v>No changes to models, manuscript prose, equations, or ACE time window.</x:v>
      </x:c>
    </x:row>
    <x:row r="14" ht="60" customHeight="1">
      <x:c r="A14" s="47" t="str">
        <x:v>Canonical citation register</x:v>
      </x:c>
      <x:c r="B14" s="47" t="str">
        <x:v>https://docs.google.com/spreadsheets/d/1YCkBJonhz08O0FFjT2g2CozdBZpkZXE3/edit</x:v>
      </x:c>
      <x:c r="C14" s="47" t="str">
        <x:v>Literature contains scholarly candidates; Other Authorities contains agency resources.</x:v>
      </x:c>
    </x:row>
    <x:row r="15" ht="60" customHeight="1">
      <x:c r="A15" s="47" t="str">
        <x:v>Pre-update SHA-256</x:v>
      </x:c>
      <x:c r="B15" s="47" t="str">
        <x:v>02ce026a23b1486588161f3e19f1054659c624c16c137c9847d6324ee769cbaf</x:v>
      </x:c>
      <x:c r="C15" s="47" t="str">
        <x:v>Nino_Chapter2_ACE_Literature_Data_Register_2026-09-28_v01__CFG001.xlsx</x:v>
      </x:c>
    </x:row>
    <x:row r="16" ht="60" customHeight="1">
      <x:c r="A16" s="47" t="str">
        <x:v>Revision handling</x:v>
      </x:c>
      <x:c r="B16" s="47" t="str">
        <x:v>Same Drive file IDs retained; pre-update originals backed up</x:v>
      </x:c>
      <x:c r="C16" s="47" t="str">
        <x:v>Both Active Registers and 00A placements of AIS/DATA receive identical bytes.</x:v>
      </x:c>
    </x:row>
    <x:row r="17" ht="60" customHeight="1">
      <x:c r="A17" s="47" t="str">
        <x:v>Change summary</x:v>
      </x:c>
      <x:c r="B17" s="47" t="str">
        <x:v>20-reference crosswalk in all three registers</x:v>
      </x:c>
      <x:c r="C17" s="47" t="str">
        <x:v>ACE: append 16 new records and track four existing; AIS/DATA: append citation reconciliation and audit sheets.</x:v>
      </x:c>
    </x:row>
  </x:sheetData>
  <x:pageMargins left="0.7" right="0.7" top="0.75" bottom="0.75" header="0.3" footer="0.3"/>
</x:worksheet>
</file>